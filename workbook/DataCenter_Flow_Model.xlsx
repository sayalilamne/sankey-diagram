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puts" sheetId="1" state="visible" r:id="rId1"/>
    <sheet name="Constants" sheetId="2" state="visible" r:id="rId2"/>
    <sheet name="Assumptions" sheetId="3" state="visible" r:id="rId3"/>
    <sheet name="Equipment Efficiencies" sheetId="4" state="visible" r:id="rId4"/>
    <sheet name="Electricity Flow" sheetId="5" state="visible" r:id="rId5"/>
    <sheet name="Cooling Flow" sheetId="6" state="visible" r:id="rId6"/>
    <sheet name="Water Flow" sheetId="7" state="visible" r:id="rId7"/>
    <sheet name="Heat Recovery" sheetId="8" state="visible" r:id="rId8"/>
    <sheet name="Equations" sheetId="9" state="visible" r:id="rId9"/>
    <sheet name="References" sheetId="10" state="visible" r:id="rId10"/>
    <sheet name="Sankey Data Tables" sheetId="11" state="visible" r:id="rId11"/>
  </sheets>
  <definedNames>
    <definedName name="Facility_Capacity_MW">'Inputs'!$C$7</definedName>
    <definedName name="Sel_ClimateZone">'Inputs'!$C$11</definedName>
    <definedName name="Sel_Workload">'Inputs'!$C$12</definedName>
    <definedName name="Sel_Reliability">'Inputs'!$C$13</definedName>
    <definedName name="Sel_CarbonGoal">'Inputs'!$C$14</definedName>
    <definedName name="Sel_HeatRejection">'Inputs'!$C$15</definedName>
    <definedName name="Sel_CoolingDelivery">'Inputs'!$C$16</definedName>
    <definedName name="Sel_SpeedToPower">'Inputs'!$C$17</definedName>
    <definedName name="PowerMix_Grid">'Inputs'!$C$20</definedName>
    <definedName name="PowerMix_Solar">'Inputs'!$C$21</definedName>
    <definedName name="PowerMix_Battery">'Inputs'!$C$22</definedName>
    <definedName name="PowerMix_Generator">'Inputs'!$C$23</definedName>
    <definedName name="WetBulbTemp_F">'Inputs'!$C$74</definedName>
    <definedName name="FreeCoolingHours">'Inputs'!$C$75</definedName>
    <definedName name="ClimateWUEMult">'Inputs'!$C$76</definedName>
    <definedName name="ClimateCoolingMult">'Inputs'!$C$77</definedName>
    <definedName name="SolarYield_kWh_per_kW">'Inputs'!$C$78</definedName>
    <definedName name="RackDensity_kW">'Inputs'!$C$79</definedName>
    <definedName name="ITUtilization">'Inputs'!$C$80</definedName>
    <definedName name="WorkloadCoolingMult">'Inputs'!$C$81</definedName>
    <definedName name="PUEFloor">'Inputs'!$C$82</definedName>
    <definedName name="StandbyLossPct">'Inputs'!$C$83</definedName>
    <definedName name="UPSRedundancyFactor">'Inputs'!$C$84</definedName>
    <definedName name="GenCapacityMult">'Inputs'!$C$85</definedName>
    <definedName name="HeatRejectionWUEBase">'Inputs'!$C$86</definedName>
    <definedName name="HeatRejectionPUEFactor">'Inputs'!$C$87</definedName>
    <definedName name="ApproachTemp_F">'Inputs'!$C$88</definedName>
    <definedName name="Hours_Per_Year">'Constants'!$B$5</definedName>
    <definedName name="Liters_Per_Gallon">'Constants'!$B$6</definedName>
    <definedName name="kWh_Per_MWh">'Constants'!$B$7</definedName>
    <definedName name="kW_Per_MW">'Constants'!$B$8</definedName>
    <definedName name="Grid_Carbon_Intensity">'Assumptions'!$C$21</definedName>
    <definedName name="Diesel_Carbon_Intensity">'Assumptions'!$C$23</definedName>
    <definedName name="UPS_Efficiency">'Equipment Efficiencies'!$B$6</definedName>
    <definedName name="Transformer_Efficiency">'Equipment Efficiencies'!$B$7</definedName>
    <definedName name="Distribution_Loss_Pct">'Equipment Efficiencies'!$B$8</definedName>
    <definedName name="DLC_Heat_Capture_Fraction">'Equipment Efficiencies'!$B$9</definedName>
    <definedName name="Residual_Room_Heat_Fraction">'Equipment Efficiencies'!$B$10</definedName>
    <definedName name="Recoverable_Heat_Fraction">'Equipment Efficiencies'!$B$11</definedName>
    <definedName name="Cooling_Share_of_Overhead">'Equipment Efficiencies'!$B$12</definedName>
    <definedName name="Aux_Share_of_Overhead">'Equipment Efficiencies'!$B$13</definedName>
    <definedName name="CDU_Effectiveness">'Equipment Efficiencies'!$B$14</definedName>
    <definedName name="Pump_Efficiency">'Equipment Efficiencies'!$B$15</definedName>
    <definedName name="Fan_Efficiency">'Equipment Efficiencies'!$B$16</definedName>
    <definedName name="FreeCooling_Load_Reduction_Effectiveness">'Equipment Efficiencies'!$B$17</definedName>
    <definedName name="Pump_Share_of_Cooling_Load">'Equipment Efficiencies'!$B$21</definedName>
    <definedName name="Fan_Share_of_Cooling_Load">'Equipment Efficiencies'!$B$22</definedName>
    <definedName name="Evap_Evaporated_Share">'Equipment Efficiencies'!$B$23</definedName>
    <definedName name="Adiabatic_Evaporated_Share">'Equipment Efficiencies'!$B$24</definedName>
    <definedName name="Utility_Transformer_Loss_Pct">'Equipment Efficiencies'!$B$28</definedName>
    <definedName name="LV_Switchgear_Loss_Pct">'Equipment Efficiencies'!$B$29</definedName>
    <definedName name="UPS_Heat_Loss_Pct_Base">'Equipment Efficiencies'!$B$30</definedName>
    <definedName name="rPDU_Loss_Pct">'Equipment Efficiencies'!$B$31</definedName>
    <definedName name="Server_Heat_Loss_Pct">'Equipment Efficiencies'!$B$32</definedName>
    <definedName name="ITMix_GPU">'Equipment Efficiencies'!$B$35</definedName>
    <definedName name="ITMix_TPU">'Equipment Efficiencies'!$B$36</definedName>
    <definedName name="ITMix_CPU">'Equipment Efficiencies'!$B$37</definedName>
    <definedName name="ITMix_ASIC">'Equipment Efficiencies'!$B$38</definedName>
    <definedName name="ITMix_MPU">'Equipment Efficiencies'!$B$39</definedName>
    <definedName name="ITMix_Fans">'Equipment Efficiencies'!$B$40</definedName>
    <definedName name="CRAH_RoomShare">'Equipment Efficiencies'!$B$41</definedName>
    <definedName name="CRAH_ServerHallShare">'Equipment Efficiencies'!$B$42</definedName>
    <definedName name="Room_ElecShare">'Equipment Efficiencies'!$B$43</definedName>
    <definedName name="Room_OfficeShare">'Equipment Efficiencies'!$B$44</definedName>
    <definedName name="Room_BatteryShare">'Equipment Efficiencies'!$B$45</definedName>
    <definedName name="Hall_NetworkingShare">'Equipment Efficiencies'!$B$46</definedName>
    <definedName name="Hall_StorageShare">'Equipment Efficiencies'!$B$47</definedName>
    <definedName name="HeatEnd_TEN">'Equipment Efficiencies'!$B$48</definedName>
    <definedName name="HeatEnd_CampusHotWater">'Equipment Efficiencies'!$B$49</definedName>
    <definedName name="HeatEnd_AbsorptionChiller">'Equipment Efficiencies'!$B$50</definedName>
    <definedName name="HeatEnd_ThermalStorage">'Equipment Efficiencies'!$B$51</definedName>
    <definedName name="HeatEnd_IndustrialProcess">'Equipment Efficiencies'!$B$52</definedName>
    <definedName name="Modeled_Cooling_PUE">'Electricity Flow'!$B$6</definedName>
    <definedName name="WUE">'Electricity Flow'!$B$7</definedName>
    <definedName name="Switchgear_Input_Peak_MW">'Electricity Flow'!$B$37</definedName>
    <definedName name="PUE">'Electricity Flow'!$B$38</definedName>
    <definedName name="IT_Load_Peak_MW">'Electricity Flow'!$B$10</definedName>
    <definedName name="Lighting_Aux_Peak_MW">'Electricity Flow'!$B$12</definedName>
    <definedName name="Annual_IT_Energy_MWh">'Electricity Flow'!$B$49</definedName>
    <definedName name="Annual_Total_Electricity_MWh">'Electricity Flow'!$B$48</definedName>
    <definedName name="CDU_Cooling_Peak_MW">'Cooling Flow'!$B$17</definedName>
    <definedName name="Annual_Cooling_Energy_Net_MWh">'Cooling Flow'!$B$41</definedName>
    <definedName name="Cooling_Peak_MW">'Cooling Flow'!$B$6</definedName>
    <definedName name="Annual_Water_Consumption_Gal">'Water Flow'!$B$11</definedName>
    <definedName name="Recoverable_Heat_Pct">'Heat Recovery'!$B$24</definedName>
    <definedName name="Chip_Heat_Peak_MW">'Heat Recovery'!$B$6</definedName>
    <definedName name="Recovered_Heat_Peak_MW">'Heat Recovery'!$B$16</definedName>
    <definedName name="Infrastructure_Heat_Loss_Peak_MW">'Heat Recovery'!$B$12</definedName>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0.00&quot;x&quot;"/>
    <numFmt numFmtId="167" formatCode="0.00000"/>
    <numFmt numFmtId="168" formatCode="0.000"/>
  </numFmts>
  <fonts count="11">
    <font>
      <name val="Calibri"/>
      <family val="2"/>
      <color theme="1"/>
      <sz val="11"/>
      <scheme val="minor"/>
    </font>
    <font>
      <name val="Arial"/>
      <b val="1"/>
      <color rgb="00FFFFFF"/>
      <sz val="14"/>
    </font>
    <font>
      <name val="Arial"/>
      <i val="1"/>
      <color rgb="00666666"/>
      <sz val="9"/>
    </font>
    <font>
      <name val="Arial"/>
      <b val="1"/>
      <color rgb="00FFFFFF"/>
      <sz val="11"/>
    </font>
    <font>
      <name val="Arial"/>
      <b val="1"/>
      <sz val="10"/>
    </font>
    <font>
      <name val="Arial"/>
      <color rgb="00000000"/>
      <sz val="10"/>
    </font>
    <font>
      <name val="Arial"/>
      <sz val="10"/>
    </font>
    <font>
      <name val="Arial"/>
      <color rgb="000000FF"/>
      <sz val="10"/>
    </font>
    <font>
      <name val="Arial"/>
      <b val="1"/>
      <color rgb="00FFFFFF"/>
      <sz val="10"/>
    </font>
    <font>
      <name val="Arial"/>
      <color rgb="00FFFFFF"/>
      <sz val="9"/>
    </font>
    <font>
      <name val="Arial"/>
      <color rgb="00000000"/>
      <sz val="9"/>
    </font>
  </fonts>
  <fills count="15">
    <fill>
      <patternFill/>
    </fill>
    <fill>
      <patternFill patternType="gray125"/>
    </fill>
    <fill>
      <patternFill patternType="solid">
        <fgColor rgb="005B2A6F"/>
      </patternFill>
    </fill>
    <fill>
      <patternFill patternType="solid">
        <fgColor rgb="006F4AA8"/>
      </patternFill>
    </fill>
    <fill>
      <patternFill patternType="solid">
        <fgColor rgb="00FFFF00"/>
      </patternFill>
    </fill>
    <fill>
      <patternFill patternType="solid">
        <fgColor rgb="004A4A4A"/>
      </patternFill>
    </fill>
    <fill>
      <patternFill patternType="solid">
        <fgColor rgb="00F2F2F2"/>
      </patternFill>
    </fill>
    <fill>
      <patternFill patternType="solid">
        <fgColor rgb="00DB634C"/>
      </patternFill>
    </fill>
    <fill>
      <patternFill patternType="solid">
        <fgColor rgb="00E3A467"/>
      </patternFill>
    </fill>
    <fill>
      <patternFill patternType="solid">
        <fgColor rgb="00D98C2B"/>
      </patternFill>
    </fill>
    <fill>
      <patternFill patternType="solid">
        <fgColor rgb="002E86C1"/>
      </patternFill>
    </fill>
    <fill>
      <patternFill patternType="solid">
        <fgColor rgb="007FB8E0"/>
      </patternFill>
    </fill>
    <fill>
      <patternFill patternType="solid">
        <fgColor rgb="006F3A8C"/>
      </patternFill>
    </fill>
    <fill>
      <patternFill patternType="solid">
        <fgColor rgb="00C9B7D6"/>
      </patternFill>
    </fill>
    <fill>
      <patternFill patternType="solid">
        <fgColor rgb="00B23A7A"/>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vertical="top" wrapText="1"/>
    </xf>
    <xf numFmtId="0" fontId="3" fillId="3" borderId="0" applyAlignment="1" pivotButton="0" quotePrefix="0" xfId="0">
      <alignment horizontal="left" vertical="center" indent="1"/>
    </xf>
    <xf numFmtId="0" fontId="4" fillId="0" borderId="0" pivotButton="0" quotePrefix="0" xfId="0"/>
    <xf numFmtId="0" fontId="5" fillId="0" borderId="1" pivotButton="0" quotePrefix="0" xfId="0"/>
    <xf numFmtId="1" fontId="5" fillId="0" borderId="1" pivotButton="0" quotePrefix="0" xfId="0"/>
    <xf numFmtId="0" fontId="2" fillId="0" borderId="0" pivotButton="0" quotePrefix="0" xfId="0"/>
    <xf numFmtId="0" fontId="6" fillId="0" borderId="0" pivotButton="0" quotePrefix="0" xfId="0"/>
    <xf numFmtId="0" fontId="7" fillId="4" borderId="1" pivotButton="0" quotePrefix="0" xfId="0"/>
    <xf numFmtId="164" fontId="7" fillId="4" borderId="1" pivotButton="0" quotePrefix="0" xfId="0"/>
    <xf numFmtId="164" fontId="5" fillId="0" borderId="1" pivotButton="0" quotePrefix="0" xfId="0"/>
    <xf numFmtId="2" fontId="5" fillId="0" borderId="1" pivotButton="0" quotePrefix="0" xfId="0"/>
    <xf numFmtId="165" fontId="5" fillId="0" borderId="1" pivotButton="0" quotePrefix="0" xfId="0"/>
    <xf numFmtId="166" fontId="5" fillId="0" borderId="1" pivotButton="0" quotePrefix="0" xfId="0"/>
    <xf numFmtId="0" fontId="8" fillId="5" borderId="1" applyAlignment="1" pivotButton="0" quotePrefix="0" xfId="0">
      <alignment horizontal="center" vertical="center" wrapText="1"/>
    </xf>
    <xf numFmtId="0" fontId="6" fillId="0" borderId="1" applyAlignment="1" pivotButton="0" quotePrefix="0" xfId="0">
      <alignment vertical="center"/>
    </xf>
    <xf numFmtId="1" fontId="6" fillId="0" borderId="1" applyAlignment="1" pivotButton="0" quotePrefix="0" xfId="0">
      <alignment vertical="center"/>
    </xf>
    <xf numFmtId="3" fontId="6" fillId="0" borderId="1" applyAlignment="1" pivotButton="0" quotePrefix="0" xfId="0">
      <alignment vertical="center"/>
    </xf>
    <xf numFmtId="2" fontId="6" fillId="0" borderId="1" applyAlignment="1" pivotButton="0" quotePrefix="0" xfId="0">
      <alignment vertical="center"/>
    </xf>
    <xf numFmtId="0" fontId="6" fillId="6" borderId="1" applyAlignment="1" pivotButton="0" quotePrefix="0" xfId="0">
      <alignment vertical="center"/>
    </xf>
    <xf numFmtId="1" fontId="6" fillId="6" borderId="1" applyAlignment="1" pivotButton="0" quotePrefix="0" xfId="0">
      <alignment vertical="center"/>
    </xf>
    <xf numFmtId="3" fontId="6" fillId="6" borderId="1" applyAlignment="1" pivotButton="0" quotePrefix="0" xfId="0">
      <alignment vertical="center"/>
    </xf>
    <xf numFmtId="2" fontId="6" fillId="6" borderId="1" applyAlignment="1" pivotButton="0" quotePrefix="0" xfId="0">
      <alignment vertical="center"/>
    </xf>
    <xf numFmtId="164" fontId="6" fillId="0" borderId="1" applyAlignment="1" pivotButton="0" quotePrefix="0" xfId="0">
      <alignment vertical="center"/>
    </xf>
    <xf numFmtId="164" fontId="6" fillId="6" borderId="1" applyAlignment="1" pivotButton="0" quotePrefix="0" xfId="0">
      <alignment vertical="center"/>
    </xf>
    <xf numFmtId="166" fontId="6" fillId="0" borderId="1" applyAlignment="1" pivotButton="0" quotePrefix="0" xfId="0">
      <alignment vertical="center"/>
    </xf>
    <xf numFmtId="166" fontId="6" fillId="6" borderId="1" applyAlignment="1" pivotButton="0" quotePrefix="0" xfId="0">
      <alignment vertical="center"/>
    </xf>
    <xf numFmtId="165" fontId="6" fillId="0" borderId="1" applyAlignment="1" pivotButton="0" quotePrefix="0" xfId="0">
      <alignment vertical="center"/>
    </xf>
    <xf numFmtId="165" fontId="6" fillId="6" borderId="1" applyAlignment="1" pivotButton="0" quotePrefix="0" xfId="0">
      <alignment vertical="center"/>
    </xf>
    <xf numFmtId="3" fontId="5" fillId="0" borderId="1" pivotButton="0" quotePrefix="0" xfId="0"/>
    <xf numFmtId="167" fontId="5" fillId="0" borderId="1" pivotButton="0" quotePrefix="0" xfId="0"/>
    <xf numFmtId="168" fontId="6" fillId="0" borderId="1" applyAlignment="1" pivotButton="0" quotePrefix="0" xfId="0">
      <alignment vertical="center"/>
    </xf>
    <xf numFmtId="168" fontId="6" fillId="6" borderId="1" applyAlignment="1" pivotButton="0" quotePrefix="0" xfId="0">
      <alignment vertical="center"/>
    </xf>
    <xf numFmtId="0" fontId="6" fillId="0" borderId="1" pivotButton="0" quotePrefix="0" xfId="0"/>
    <xf numFmtId="168" fontId="6" fillId="0" borderId="1" pivotButton="0" quotePrefix="0" xfId="0"/>
    <xf numFmtId="2" fontId="5" fillId="0" borderId="1" applyAlignment="1" pivotButton="0" quotePrefix="0" xfId="0">
      <alignment vertical="center"/>
    </xf>
    <xf numFmtId="2" fontId="5" fillId="6" borderId="1" applyAlignment="1" pivotButton="0" quotePrefix="0" xfId="0">
      <alignment vertical="center"/>
    </xf>
    <xf numFmtId="0" fontId="0" fillId="0" borderId="1" pivotButton="0" quotePrefix="0" xfId="0"/>
    <xf numFmtId="2" fontId="0" fillId="0" borderId="1" pivotButton="0" quotePrefix="0" xfId="0"/>
    <xf numFmtId="168" fontId="0" fillId="0" borderId="1" pivotButton="0" quotePrefix="0" xfId="0"/>
    <xf numFmtId="168" fontId="5" fillId="0" borderId="1" pivotButton="0" quotePrefix="0" xfId="0"/>
    <xf numFmtId="0" fontId="6" fillId="0" borderId="1" applyAlignment="1" pivotButton="0" quotePrefix="0" xfId="0">
      <alignment vertical="top" wrapText="1"/>
    </xf>
    <xf numFmtId="0" fontId="6" fillId="6" borderId="1" applyAlignment="1" pivotButton="0" quotePrefix="0" xfId="0">
      <alignment vertical="top" wrapText="1"/>
    </xf>
    <xf numFmtId="0" fontId="6" fillId="0" borderId="1" applyAlignment="1" pivotButton="0" quotePrefix="0" xfId="0">
      <alignment vertical="center" wrapText="1"/>
    </xf>
    <xf numFmtId="0" fontId="6" fillId="6" borderId="1" applyAlignment="1" pivotButton="0" quotePrefix="0" xfId="0">
      <alignment vertical="center" wrapText="1"/>
    </xf>
    <xf numFmtId="4" fontId="5" fillId="0" borderId="1" applyAlignment="1" pivotButton="0" quotePrefix="0" xfId="0">
      <alignment vertical="center"/>
    </xf>
    <xf numFmtId="0" fontId="9" fillId="7" borderId="1" applyAlignment="1" pivotButton="0" quotePrefix="0" xfId="0">
      <alignment vertical="center"/>
    </xf>
    <xf numFmtId="4" fontId="5" fillId="6" borderId="1" applyAlignment="1" pivotButton="0" quotePrefix="0" xfId="0">
      <alignment vertical="center"/>
    </xf>
    <xf numFmtId="0" fontId="10" fillId="8" borderId="1" applyAlignment="1" pivotButton="0" quotePrefix="0" xfId="0">
      <alignment vertical="center"/>
    </xf>
    <xf numFmtId="0" fontId="9" fillId="9" borderId="1" applyAlignment="1" pivotButton="0" quotePrefix="0" xfId="0">
      <alignment vertical="center"/>
    </xf>
    <xf numFmtId="0" fontId="9" fillId="10" borderId="1" applyAlignment="1" pivotButton="0" quotePrefix="0" xfId="0">
      <alignment vertical="center"/>
    </xf>
    <xf numFmtId="0" fontId="10" fillId="11" borderId="1" applyAlignment="1" pivotButton="0" quotePrefix="0" xfId="0">
      <alignment vertical="center"/>
    </xf>
    <xf numFmtId="0" fontId="9" fillId="12" borderId="1" applyAlignment="1" pivotButton="0" quotePrefix="0" xfId="0">
      <alignment vertical="center"/>
    </xf>
    <xf numFmtId="0" fontId="10" fillId="13" borderId="1" applyAlignment="1" pivotButton="0" quotePrefix="0" xfId="0">
      <alignment vertical="center"/>
    </xf>
    <xf numFmtId="0" fontId="9" fillId="14" borderId="1" applyAlignment="1" pivotButton="0" quotePrefix="0" xfId="0">
      <alignment vertical="center"/>
    </xf>
  </cellXfs>
  <cellStyles count="1">
    <cellStyle name="Normal" xfId="0" builtinId="0" hidden="0"/>
  </cellStyles>
  <dxfs count="1">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Model</author>
  </authors>
  <commentList>
    <comment ref="C11" authorId="0" shapeId="0">
      <text>
        <t>California climate zone used to site the facility. Drives wet-bulb design temperature, free-cooling hours, water-use multiplier, cooling-energy multiplier, and solar yield. See Climate Zone Reference Table below.</t>
      </text>
    </comment>
    <comment ref="C12" authorId="0" shapeId="0">
      <text>
        <t>Drives rack density, IT utilization, cooling-load multiplier, and achievable PUE floor. See Workload Reference Table below.</t>
      </text>
    </comment>
    <comment ref="C13" authorId="0" shapeId="0">
      <text>
        <t>Drives standby/UPS redundancy overhead, generator reserve sizing, and cooling redundancy. See Reliability Reference Table below.</t>
      </text>
    </comment>
    <comment ref="C14" authorId="0" shapeId="0">
      <text>
        <t>Informational: populates the Suggested Power Mix reference below (does not override the Power Mix sliders, which remain independently user-adjustable).</t>
      </text>
    </comment>
    <comment ref="C15" authorId="0" shapeId="0">
      <text>
        <t>Heat-rejection technology paired with the Direct-to-Chip liquid loop. Drives WUE baseline, PUE contribution, and cooling-tower/dry-cooler approach temperature.</t>
      </text>
    </comment>
    <comment ref="C16" authorId="0" shapeId="0">
      <text>
        <t>Fixed at Direct-to-Chip for this 100MW AI-training scenario; 'Air-Cooled CRAH (future)' is reserved for future expansion of the model to lower-density workloads.</t>
      </text>
    </comment>
    <comment ref="C17" authorId="0" shapeId="0">
      <text>
        <t>Time to energize. Drives grid-interconnection availability, behind-the-meter solar bias, and battery sizing shown in the Suggested Power Mix reference below.</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88"/>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30" customWidth="1" min="1" max="1"/>
    <col width="16" customWidth="1" min="2" max="2"/>
    <col width="18" customWidth="1" min="3" max="3"/>
    <col width="16" customWidth="1" min="4" max="4"/>
    <col width="30" customWidth="1" min="5" max="5"/>
    <col width="16" customWidth="1" min="6" max="6"/>
    <col width="16" customWidth="1" min="7" max="7"/>
    <col width="16" customWidth="1" min="8" max="8"/>
  </cols>
  <sheetData>
    <row r="1" ht="26" customHeight="1">
      <c r="A1" s="1" t="inlineStr">
        <is>
          <t>INPUTS — 100 MW Hyperscale AI Data Center, California</t>
        </is>
      </c>
    </row>
    <row r="2"/>
    <row r="3">
      <c r="A3" s="2" t="inlineStr">
        <is>
          <t>Edit only the yellow cells. All other cells are formulas or fixed reference data — do not overwrite. See the Assumptions and Equations sheets for full documentation of every value used below.</t>
        </is>
      </c>
    </row>
    <row r="4"/>
    <row r="5" ht="20" customHeight="1">
      <c r="A5" s="3" t="inlineStr">
        <is>
          <t>FIXED PARAMETERS</t>
        </is>
      </c>
    </row>
    <row r="6">
      <c r="A6" s="4" t="inlineStr">
        <is>
          <t>Location</t>
        </is>
      </c>
      <c r="C6" s="5" t="inlineStr">
        <is>
          <t>California</t>
        </is>
      </c>
    </row>
    <row r="7">
      <c r="A7" s="4" t="inlineStr">
        <is>
          <t>Facility Capacity (IT Critical Load)</t>
        </is>
      </c>
      <c r="C7" s="6" t="n">
        <v>100</v>
      </c>
      <c r="D7" s="7" t="inlineStr">
        <is>
          <t>MW</t>
        </is>
      </c>
    </row>
    <row r="8">
      <c r="A8" s="4" t="inlineStr">
        <is>
          <t>Base Redundancy Topology</t>
        </is>
      </c>
      <c r="C8" s="5" t="inlineStr">
        <is>
          <t>N+1</t>
        </is>
      </c>
    </row>
    <row r="9"/>
    <row r="10" ht="20" customHeight="1">
      <c r="A10" s="3" t="inlineStr">
        <is>
          <t>USER-ADJUSTABLE SCENARIO INPUTS  (yellow cells — choose from dropdown)</t>
        </is>
      </c>
    </row>
    <row r="11">
      <c r="A11" s="8" t="inlineStr">
        <is>
          <t>Climate Zone</t>
        </is>
      </c>
      <c r="C11" s="9" t="inlineStr">
        <is>
          <t>CZ4 San Jose</t>
        </is>
      </c>
    </row>
    <row r="12">
      <c r="A12" s="8" t="inlineStr">
        <is>
          <t>Primary Workload</t>
        </is>
      </c>
      <c r="C12" s="9" t="inlineStr">
        <is>
          <t>AI Training</t>
        </is>
      </c>
    </row>
    <row r="13">
      <c r="A13" s="8" t="inlineStr">
        <is>
          <t>Reliability Tier</t>
        </is>
      </c>
      <c r="C13" s="9" t="inlineStr">
        <is>
          <t>High (99.99%)</t>
        </is>
      </c>
    </row>
    <row r="14">
      <c r="A14" s="8" t="inlineStr">
        <is>
          <t>Carbon / Sustainability Goal</t>
        </is>
      </c>
      <c r="C14" s="9" t="inlineStr">
        <is>
          <t>Annual Renewable Matching</t>
        </is>
      </c>
    </row>
    <row r="15">
      <c r="A15" s="8" t="inlineStr">
        <is>
          <t>Primary Heat Rejection Method</t>
        </is>
      </c>
      <c r="C15" s="9" t="inlineStr">
        <is>
          <t>Closed-loop Evaporative Cooling</t>
        </is>
      </c>
    </row>
    <row r="16">
      <c r="A16" s="8" t="inlineStr">
        <is>
          <t>Cooling Delivery Technology</t>
        </is>
      </c>
      <c r="C16" s="9" t="inlineStr">
        <is>
          <t>Direct-to-Chip Liquid Cooling</t>
        </is>
      </c>
    </row>
    <row r="17">
      <c r="A17" s="8" t="inlineStr">
        <is>
          <t>Speed to Power</t>
        </is>
      </c>
      <c r="C17" s="9" t="inlineStr">
        <is>
          <t>2-5 years</t>
        </is>
      </c>
    </row>
    <row r="18"/>
    <row r="19" ht="20" customHeight="1">
      <c r="A19" s="3" t="inlineStr">
        <is>
          <t>POWER MIX  (user sliders — % of total facility electricity draw, must sum to 100%)</t>
        </is>
      </c>
    </row>
    <row r="20">
      <c r="A20" s="8" t="inlineStr">
        <is>
          <t>Grid (CAISO)</t>
        </is>
      </c>
      <c r="C20" s="10" t="n">
        <v>0.55</v>
      </c>
    </row>
    <row r="21">
      <c r="A21" s="8" t="inlineStr">
        <is>
          <t>On-site Solar PV</t>
        </is>
      </c>
      <c r="C21" s="10" t="n">
        <v>0.3</v>
      </c>
    </row>
    <row r="22">
      <c r="A22" s="8" t="inlineStr">
        <is>
          <t>Battery Discharge (BESS)</t>
        </is>
      </c>
      <c r="C22" s="10" t="n">
        <v>0.15</v>
      </c>
    </row>
    <row r="23">
      <c r="A23" s="8" t="inlineStr">
        <is>
          <t>Generator (active run)</t>
        </is>
      </c>
      <c r="C23" s="10" t="n">
        <v>0</v>
      </c>
    </row>
    <row r="24">
      <c r="A24" s="4" t="inlineStr">
        <is>
          <t>Total (must equal 100%)</t>
        </is>
      </c>
      <c r="C24" s="11">
        <f>C20+C21+C22+C23</f>
        <v/>
      </c>
    </row>
    <row r="25"/>
    <row r="26" ht="20" customHeight="1">
      <c r="A26" s="3" t="inlineStr">
        <is>
          <t>SUGGESTED POWER MIX  (informational reference only — derived from Carbon Goal &amp; Speed to Power)</t>
        </is>
      </c>
    </row>
    <row r="27">
      <c r="A27" s="4" t="inlineStr">
        <is>
          <t>Suggested Grid % (from Carbon Goal)</t>
        </is>
      </c>
      <c r="C27" s="11">
        <f>INDEX($B$58:$B$60,MATCH($C$14,$A$58:$A$60,0))</f>
        <v/>
      </c>
    </row>
    <row r="28">
      <c r="A28" s="4" t="inlineStr">
        <is>
          <t>Suggested Solar % (from Carbon Goal)</t>
        </is>
      </c>
      <c r="C28" s="11">
        <f>INDEX($C$58:$C$60,MATCH($C$14,$A$58:$A$60,0))</f>
        <v/>
      </c>
    </row>
    <row r="29">
      <c r="A29" s="4" t="inlineStr">
        <is>
          <t>Suggested Battery % (from Carbon Goal)</t>
        </is>
      </c>
      <c r="C29" s="11">
        <f>INDEX($D$58:$D$60,MATCH($C$14,$A$58:$A$60,0))</f>
        <v/>
      </c>
    </row>
    <row r="30">
      <c r="A30" s="4" t="inlineStr">
        <is>
          <t>Grid Availability Factor (from Speed to Power)</t>
        </is>
      </c>
      <c r="C30" s="12">
        <f>INDEX($B$69:$B$71,MATCH($C$17,$A$69:$A$71,0))</f>
        <v/>
      </c>
    </row>
    <row r="31">
      <c r="A31" s="4" t="inlineStr">
        <is>
          <t>Behind-the-Meter Solar Bias (from Speed to Power)</t>
        </is>
      </c>
      <c r="C31" s="13">
        <f>INDEX($C$69:$C$71,MATCH($C$17,$A$69:$A$71,0))</f>
        <v/>
      </c>
    </row>
    <row r="32">
      <c r="A32" s="4" t="inlineStr">
        <is>
          <t>Battery Sizing Multiplier (from Speed to Power)</t>
        </is>
      </c>
      <c r="C32" s="14">
        <f>INDEX($D$69:$D$71,MATCH($C$17,$A$69:$A$71,0))</f>
        <v/>
      </c>
    </row>
    <row r="33"/>
    <row r="34" ht="20" customHeight="1">
      <c r="A34" s="3" t="inlineStr">
        <is>
          <t>REFERENCE TABLE — Climate Zone  (source: CEC Climate Zones; ASHRAE 169 design wet-bulb methodology; NREL PVWatts)</t>
        </is>
      </c>
    </row>
    <row r="35" ht="30" customHeight="1">
      <c r="A35" s="15" t="inlineStr">
        <is>
          <t>Zone</t>
        </is>
      </c>
      <c r="B35" s="15" t="inlineStr">
        <is>
          <t>Representative Location</t>
        </is>
      </c>
      <c r="C35" s="15" t="inlineStr">
        <is>
          <t>Design Wet-Bulb Temp (°F)</t>
        </is>
      </c>
      <c r="D35" s="15" t="inlineStr">
        <is>
          <t>Free Cooling Hours (hr/yr)</t>
        </is>
      </c>
      <c r="E35" s="15" t="inlineStr">
        <is>
          <t>WUE Multiplier</t>
        </is>
      </c>
      <c r="F35" s="15" t="inlineStr">
        <is>
          <t>Cooling Energy Multiplier</t>
        </is>
      </c>
      <c r="G35" s="15" t="inlineStr">
        <is>
          <t>Solar Yield (kWh/kW-yr)</t>
        </is>
      </c>
    </row>
    <row r="36">
      <c r="A36" s="16" t="inlineStr">
        <is>
          <t>CZ3 Bay Area</t>
        </is>
      </c>
      <c r="B36" s="16" t="inlineStr">
        <is>
          <t>Oakland / East Bay</t>
        </is>
      </c>
      <c r="C36" s="17" t="n">
        <v>63</v>
      </c>
      <c r="D36" s="18" t="n">
        <v>6500</v>
      </c>
      <c r="E36" s="19" t="n">
        <v>0.85</v>
      </c>
      <c r="F36" s="19" t="n">
        <v>0.85</v>
      </c>
      <c r="G36" s="18" t="n">
        <v>1550</v>
      </c>
    </row>
    <row r="37">
      <c r="A37" s="20" t="inlineStr">
        <is>
          <t>CZ4 San Jose</t>
        </is>
      </c>
      <c r="B37" s="20" t="inlineStr">
        <is>
          <t>San Jose / Silicon Valley</t>
        </is>
      </c>
      <c r="C37" s="21" t="n">
        <v>65</v>
      </c>
      <c r="D37" s="22" t="n">
        <v>6000</v>
      </c>
      <c r="E37" s="23" t="n">
        <v>0.9</v>
      </c>
      <c r="F37" s="23" t="n">
        <v>0.9</v>
      </c>
      <c r="G37" s="22" t="n">
        <v>1600</v>
      </c>
    </row>
    <row r="38">
      <c r="A38" s="16" t="inlineStr">
        <is>
          <t>CZ11</t>
        </is>
      </c>
      <c r="B38" s="16" t="inlineStr">
        <is>
          <t>Red Bluff / Sacramento Valley (N)</t>
        </is>
      </c>
      <c r="C38" s="17" t="n">
        <v>70</v>
      </c>
      <c r="D38" s="18" t="n">
        <v>4500</v>
      </c>
      <c r="E38" s="19" t="n">
        <v>1.05</v>
      </c>
      <c r="F38" s="19" t="n">
        <v>1.1</v>
      </c>
      <c r="G38" s="18" t="n">
        <v>1680</v>
      </c>
    </row>
    <row r="39">
      <c r="A39" s="20" t="inlineStr">
        <is>
          <t>CZ12</t>
        </is>
      </c>
      <c r="B39" s="20" t="inlineStr">
        <is>
          <t>Sacramento</t>
        </is>
      </c>
      <c r="C39" s="21" t="n">
        <v>69</v>
      </c>
      <c r="D39" s="22" t="n">
        <v>4800</v>
      </c>
      <c r="E39" s="23" t="n">
        <v>1</v>
      </c>
      <c r="F39" s="23" t="n">
        <v>1.05</v>
      </c>
      <c r="G39" s="22" t="n">
        <v>1650</v>
      </c>
    </row>
    <row r="40">
      <c r="A40" s="16" t="inlineStr">
        <is>
          <t>CZ13</t>
        </is>
      </c>
      <c r="B40" s="16" t="inlineStr">
        <is>
          <t>Fresno / Stockton corridor</t>
        </is>
      </c>
      <c r="C40" s="17" t="n">
        <v>71</v>
      </c>
      <c r="D40" s="18" t="n">
        <v>4300</v>
      </c>
      <c r="E40" s="19" t="n">
        <v>1.1</v>
      </c>
      <c r="F40" s="19" t="n">
        <v>1.15</v>
      </c>
      <c r="G40" s="18" t="n">
        <v>1700</v>
      </c>
    </row>
    <row r="41">
      <c r="A41" s="20" t="inlineStr">
        <is>
          <t>CZ15 Desert</t>
        </is>
      </c>
      <c r="B41" s="20" t="inlineStr">
        <is>
          <t>Imperial / Palm Springs (desert)</t>
        </is>
      </c>
      <c r="C41" s="21" t="n">
        <v>76</v>
      </c>
      <c r="D41" s="22" t="n">
        <v>2500</v>
      </c>
      <c r="E41" s="23" t="n">
        <v>1.3</v>
      </c>
      <c r="F41" s="23" t="n">
        <v>1.3</v>
      </c>
      <c r="G41" s="22" t="n">
        <v>1850</v>
      </c>
    </row>
    <row r="42"/>
    <row r="43" ht="20" customHeight="1">
      <c r="A43" s="3" t="inlineStr">
        <is>
          <t>REFERENCE TABLE — Workload  (source: ASHRAE TC9.9 Thermal Guidelines; LBNL data center benchmarking)</t>
        </is>
      </c>
    </row>
    <row r="44" ht="30" customHeight="1">
      <c r="A44" s="15" t="inlineStr">
        <is>
          <t>Workload</t>
        </is>
      </c>
      <c r="B44" s="15" t="inlineStr">
        <is>
          <t>Rack Density (kW/rack)</t>
        </is>
      </c>
      <c r="C44" s="15" t="inlineStr">
        <is>
          <t>IT Utilization (%)</t>
        </is>
      </c>
      <c r="D44" s="15" t="inlineStr">
        <is>
          <t>Cooling Load Multiplier</t>
        </is>
      </c>
      <c r="E44" s="15" t="inlineStr">
        <is>
          <t>PUE Floor</t>
        </is>
      </c>
    </row>
    <row r="45">
      <c r="A45" s="16" t="inlineStr">
        <is>
          <t>AI Training</t>
        </is>
      </c>
      <c r="B45" s="17" t="n">
        <v>80</v>
      </c>
      <c r="C45" s="24" t="n">
        <v>0.92</v>
      </c>
      <c r="D45" s="19" t="n">
        <v>1.15</v>
      </c>
      <c r="E45" s="19" t="n">
        <v>1.1</v>
      </c>
    </row>
    <row r="46">
      <c r="A46" s="20" t="inlineStr">
        <is>
          <t>AI Inference</t>
        </is>
      </c>
      <c r="B46" s="21" t="n">
        <v>45</v>
      </c>
      <c r="C46" s="25" t="n">
        <v>0.75</v>
      </c>
      <c r="D46" s="23" t="n">
        <v>1</v>
      </c>
      <c r="E46" s="23" t="n">
        <v>1.15</v>
      </c>
    </row>
    <row r="47">
      <c r="A47" s="16" t="inlineStr">
        <is>
          <t>HPC</t>
        </is>
      </c>
      <c r="B47" s="17" t="n">
        <v>60</v>
      </c>
      <c r="C47" s="24" t="n">
        <v>0.85</v>
      </c>
      <c r="D47" s="19" t="n">
        <v>1.08</v>
      </c>
      <c r="E47" s="19" t="n">
        <v>1.12</v>
      </c>
    </row>
    <row r="48">
      <c r="A48" s="20" t="inlineStr">
        <is>
          <t>Mixed Cloud</t>
        </is>
      </c>
      <c r="B48" s="21" t="n">
        <v>15</v>
      </c>
      <c r="C48" s="25" t="n">
        <v>0.55</v>
      </c>
      <c r="D48" s="23" t="n">
        <v>0.9</v>
      </c>
      <c r="E48" s="23" t="n">
        <v>1.25</v>
      </c>
    </row>
    <row r="49"/>
    <row r="50" ht="20" customHeight="1">
      <c r="A50" s="3" t="inlineStr">
        <is>
          <t>REFERENCE TABLE — Reliability Tier  (source: Uptime Institute Tier Standard; ASHRAE)</t>
        </is>
      </c>
    </row>
    <row r="51" ht="30" customHeight="1">
      <c r="A51" s="15" t="inlineStr">
        <is>
          <t>Tier</t>
        </is>
      </c>
      <c r="B51" s="15" t="inlineStr">
        <is>
          <t>Standby Loss (%)</t>
        </is>
      </c>
      <c r="C51" s="15" t="inlineStr">
        <is>
          <t>UPS Redundancy Config</t>
        </is>
      </c>
      <c r="D51" s="15" t="inlineStr">
        <is>
          <t>UPS Overhead Factor</t>
        </is>
      </c>
      <c r="E51" s="15" t="inlineStr">
        <is>
          <t>Generator Capacity Multiplier</t>
        </is>
      </c>
      <c r="F51" s="15" t="inlineStr">
        <is>
          <t>Cooling Redundancy Config</t>
        </is>
      </c>
    </row>
    <row r="52">
      <c r="A52" s="16" t="inlineStr">
        <is>
          <t>Standard (99.9%)</t>
        </is>
      </c>
      <c r="B52" s="24" t="n">
        <v>0.01</v>
      </c>
      <c r="C52" s="16" t="inlineStr">
        <is>
          <t>N+1</t>
        </is>
      </c>
      <c r="D52" s="19" t="n">
        <v>1.05</v>
      </c>
      <c r="E52" s="26" t="n">
        <v>1</v>
      </c>
      <c r="F52" s="16" t="inlineStr">
        <is>
          <t>N+1</t>
        </is>
      </c>
    </row>
    <row r="53">
      <c r="A53" s="20" t="inlineStr">
        <is>
          <t>High (99.99%)</t>
        </is>
      </c>
      <c r="B53" s="25" t="n">
        <v>0.015</v>
      </c>
      <c r="C53" s="20" t="inlineStr">
        <is>
          <t>2N</t>
        </is>
      </c>
      <c r="D53" s="23" t="n">
        <v>1.1</v>
      </c>
      <c r="E53" s="27" t="n">
        <v>1.5</v>
      </c>
      <c r="F53" s="20" t="inlineStr">
        <is>
          <t>N+1 (dual path)</t>
        </is>
      </c>
    </row>
    <row r="54">
      <c r="A54" s="16" t="inlineStr">
        <is>
          <t>Five Nines (99.999%)</t>
        </is>
      </c>
      <c r="B54" s="24" t="n">
        <v>0.022</v>
      </c>
      <c r="C54" s="16" t="inlineStr">
        <is>
          <t>2N+1</t>
        </is>
      </c>
      <c r="D54" s="19" t="n">
        <v>1.18</v>
      </c>
      <c r="E54" s="26" t="n">
        <v>2</v>
      </c>
      <c r="F54" s="16" t="inlineStr">
        <is>
          <t>2N</t>
        </is>
      </c>
    </row>
    <row r="55"/>
    <row r="56" ht="20" customHeight="1">
      <c r="A56" s="3" t="inlineStr">
        <is>
          <t>REFERENCE TABLE — Carbon / Sustainability Goal  (source: DOE 24/7 CFE initiative; CAISO)</t>
        </is>
      </c>
    </row>
    <row r="57" ht="30" customHeight="1">
      <c r="A57" s="15" t="inlineStr">
        <is>
          <t>Goal</t>
        </is>
      </c>
      <c r="B57" s="15" t="inlineStr">
        <is>
          <t>Suggested Grid %</t>
        </is>
      </c>
      <c r="C57" s="15" t="inlineStr">
        <is>
          <t>Suggested Solar %</t>
        </is>
      </c>
      <c r="D57" s="15" t="inlineStr">
        <is>
          <t>Suggested Battery %</t>
        </is>
      </c>
    </row>
    <row r="58">
      <c r="A58" s="16" t="inlineStr">
        <is>
          <t>Baseline</t>
        </is>
      </c>
      <c r="B58" s="24" t="n">
        <v>0.8</v>
      </c>
      <c r="C58" s="24" t="n">
        <v>0.15</v>
      </c>
      <c r="D58" s="24" t="n">
        <v>0.05</v>
      </c>
    </row>
    <row r="59">
      <c r="A59" s="20" t="inlineStr">
        <is>
          <t>Annual Renewable Matching</t>
        </is>
      </c>
      <c r="B59" s="25" t="n">
        <v>0.55</v>
      </c>
      <c r="C59" s="25" t="n">
        <v>0.3</v>
      </c>
      <c r="D59" s="25" t="n">
        <v>0.15</v>
      </c>
    </row>
    <row r="60">
      <c r="A60" s="16" t="inlineStr">
        <is>
          <t>24/7 Carbon Free Energy</t>
        </is>
      </c>
      <c r="B60" s="24" t="n">
        <v>0.25</v>
      </c>
      <c r="C60" s="24" t="n">
        <v>0.45</v>
      </c>
      <c r="D60" s="24" t="n">
        <v>0.3</v>
      </c>
    </row>
    <row r="61"/>
    <row r="62" ht="20" customHeight="1">
      <c r="A62" s="3" t="inlineStr">
        <is>
          <t>REFERENCE TABLE — Primary Heat Rejection Method  (source: ASHRAE TC9.9; RenewIT Project 2016)</t>
        </is>
      </c>
    </row>
    <row r="63" ht="30" customHeight="1">
      <c r="A63" s="15" t="inlineStr">
        <is>
          <t>Method</t>
        </is>
      </c>
      <c r="B63" s="15" t="inlineStr">
        <is>
          <t>WUE Base (L/kWh)</t>
        </is>
      </c>
      <c r="C63" s="15" t="inlineStr">
        <is>
          <t>PUE Factor</t>
        </is>
      </c>
      <c r="D63" s="15" t="inlineStr">
        <is>
          <t>Approach Temp (°F)</t>
        </is>
      </c>
    </row>
    <row r="64">
      <c r="A64" s="16" t="inlineStr">
        <is>
          <t>Closed-loop Evaporative Cooling</t>
        </is>
      </c>
      <c r="B64" s="19" t="n">
        <v>0.8</v>
      </c>
      <c r="C64" s="19" t="n">
        <v>1</v>
      </c>
      <c r="D64" s="17" t="n">
        <v>7</v>
      </c>
    </row>
    <row r="65">
      <c r="A65" s="20" t="inlineStr">
        <is>
          <t>Adiabatic Dry Cooler</t>
        </is>
      </c>
      <c r="B65" s="23" t="n">
        <v>0.05</v>
      </c>
      <c r="C65" s="23" t="n">
        <v>1.18</v>
      </c>
      <c r="D65" s="21" t="n">
        <v>18</v>
      </c>
    </row>
    <row r="66"/>
    <row r="67" ht="20" customHeight="1">
      <c r="A67" s="3" t="inlineStr">
        <is>
          <t>REFERENCE TABLE — Speed to Power  (source: CAISO interconnection queue reporting)</t>
        </is>
      </c>
    </row>
    <row r="68" ht="30" customHeight="1">
      <c r="A68" s="15" t="inlineStr">
        <is>
          <t>Timeline</t>
        </is>
      </c>
      <c r="B68" s="15" t="inlineStr">
        <is>
          <t>Grid Availability Factor</t>
        </is>
      </c>
      <c r="C68" s="15" t="inlineStr">
        <is>
          <t>Behind-the-Meter Solar Bias</t>
        </is>
      </c>
      <c r="D68" s="15" t="inlineStr">
        <is>
          <t>Battery Sizing Multiplier</t>
        </is>
      </c>
    </row>
    <row r="69">
      <c r="A69" s="16" t="inlineStr">
        <is>
          <t>Under 2 years</t>
        </is>
      </c>
      <c r="B69" s="19" t="n">
        <v>0.5</v>
      </c>
      <c r="C69" s="28" t="n">
        <v>0.25</v>
      </c>
      <c r="D69" s="26" t="n">
        <v>1.8</v>
      </c>
    </row>
    <row r="70">
      <c r="A70" s="20" t="inlineStr">
        <is>
          <t>2-5 years</t>
        </is>
      </c>
      <c r="B70" s="23" t="n">
        <v>0.8</v>
      </c>
      <c r="C70" s="29" t="n">
        <v>0.1</v>
      </c>
      <c r="D70" s="27" t="n">
        <v>1.3</v>
      </c>
    </row>
    <row r="71">
      <c r="A71" s="16" t="inlineStr">
        <is>
          <t>Over 5 years</t>
        </is>
      </c>
      <c r="B71" s="19" t="n">
        <v>1</v>
      </c>
      <c r="C71" s="28" t="n">
        <v>0</v>
      </c>
      <c r="D71" s="26" t="n">
        <v>1</v>
      </c>
    </row>
    <row r="72"/>
    <row r="73" ht="20" customHeight="1">
      <c r="A73" s="3" t="inlineStr">
        <is>
          <t>RESOLVED SCENARIO PARAMETERS  (auto-calculated via lookup — do not edit)</t>
        </is>
      </c>
    </row>
    <row r="74">
      <c r="A74" s="4" t="inlineStr">
        <is>
          <t>Design Wet-Bulb Temperature</t>
        </is>
      </c>
      <c r="C74" s="6">
        <f>INDEX($C$36:$C$41,MATCH($C$11,$A$36:$A$41,0))</f>
        <v/>
      </c>
      <c r="D74" s="7" t="inlineStr">
        <is>
          <t>°F</t>
        </is>
      </c>
    </row>
    <row r="75">
      <c r="A75" s="4" t="inlineStr">
        <is>
          <t>Free Cooling Hours</t>
        </is>
      </c>
      <c r="C75" s="30">
        <f>INDEX($D$36:$D$41,MATCH($C$11,$A$36:$A$41,0))</f>
        <v/>
      </c>
      <c r="D75" s="7" t="inlineStr">
        <is>
          <t>hr/yr</t>
        </is>
      </c>
    </row>
    <row r="76">
      <c r="A76" s="4" t="inlineStr">
        <is>
          <t>Climate WUE Multiplier</t>
        </is>
      </c>
      <c r="C76" s="12">
        <f>INDEX($E$36:$E$41,MATCH($C$11,$A$36:$A$41,0))</f>
        <v/>
      </c>
    </row>
    <row r="77">
      <c r="A77" s="4" t="inlineStr">
        <is>
          <t>Climate Cooling Energy Multiplier</t>
        </is>
      </c>
      <c r="C77" s="12">
        <f>INDEX($F$36:$F$41,MATCH($C$11,$A$36:$A$41,0))</f>
        <v/>
      </c>
    </row>
    <row r="78">
      <c r="A78" s="4" t="inlineStr">
        <is>
          <t>Solar Generation Yield</t>
        </is>
      </c>
      <c r="C78" s="30">
        <f>INDEX($G$36:$G$41,MATCH($C$11,$A$36:$A$41,0))</f>
        <v/>
      </c>
      <c r="D78" s="7" t="inlineStr">
        <is>
          <t>kWh/kW-yr</t>
        </is>
      </c>
    </row>
    <row r="79">
      <c r="A79" s="4" t="inlineStr">
        <is>
          <t>Rack Density</t>
        </is>
      </c>
      <c r="C79" s="6">
        <f>INDEX($B$45:$B$48,MATCH($C$12,$A$45:$A$48,0))</f>
        <v/>
      </c>
      <c r="D79" s="7" t="inlineStr">
        <is>
          <t>kW/rack</t>
        </is>
      </c>
    </row>
    <row r="80">
      <c r="A80" s="4" t="inlineStr">
        <is>
          <t>IT Utilization</t>
        </is>
      </c>
      <c r="C80" s="11">
        <f>INDEX($C$45:$C$48,MATCH($C$12,$A$45:$A$48,0))</f>
        <v/>
      </c>
    </row>
    <row r="81">
      <c r="A81" s="4" t="inlineStr">
        <is>
          <t>Workload Cooling Load Multiplier</t>
        </is>
      </c>
      <c r="C81" s="12">
        <f>INDEX($D$45:$D$48,MATCH($C$12,$A$45:$A$48,0))</f>
        <v/>
      </c>
    </row>
    <row r="82">
      <c r="A82" s="4" t="inlineStr">
        <is>
          <t>PUE Floor (workload baseline)</t>
        </is>
      </c>
      <c r="C82" s="12">
        <f>INDEX($E$45:$E$48,MATCH($C$12,$A$45:$A$48,0))</f>
        <v/>
      </c>
    </row>
    <row r="83">
      <c r="A83" s="4" t="inlineStr">
        <is>
          <t>Standby Loss</t>
        </is>
      </c>
      <c r="C83" s="11">
        <f>INDEX($B$52:$B$54,MATCH($C$13,$A$52:$A$54,0))</f>
        <v/>
      </c>
    </row>
    <row r="84">
      <c r="A84" s="4" t="inlineStr">
        <is>
          <t>UPS Redundancy Overhead Factor</t>
        </is>
      </c>
      <c r="C84" s="14">
        <f>INDEX($D$52:$D$54,MATCH($C$13,$A$52:$A$54,0))</f>
        <v/>
      </c>
    </row>
    <row r="85">
      <c r="A85" s="4" t="inlineStr">
        <is>
          <t>Generator Capacity Multiplier</t>
        </is>
      </c>
      <c r="C85" s="14">
        <f>INDEX($E$52:$E$54,MATCH($C$13,$A$52:$A$54,0))</f>
        <v/>
      </c>
    </row>
    <row r="86">
      <c r="A86" s="4" t="inlineStr">
        <is>
          <t>Heat Rejection WUE Base</t>
        </is>
      </c>
      <c r="C86" s="12">
        <f>INDEX($B$64:$B$65,MATCH($C$15,$A$64:$A$65,0))</f>
        <v/>
      </c>
      <c r="D86" s="7" t="inlineStr">
        <is>
          <t>L/kWh</t>
        </is>
      </c>
    </row>
    <row r="87">
      <c r="A87" s="4" t="inlineStr">
        <is>
          <t>Heat Rejection PUE Factor</t>
        </is>
      </c>
      <c r="C87" s="12">
        <f>INDEX($C$64:$C$65,MATCH($C$15,$A$64:$A$65,0))</f>
        <v/>
      </c>
    </row>
    <row r="88">
      <c r="A88" s="4" t="inlineStr">
        <is>
          <t>Heat Rejection Approach Temperature</t>
        </is>
      </c>
      <c r="C88" s="6">
        <f>INDEX($D$64:$D$65,MATCH($C$15,$A$64:$A$65,0))</f>
        <v/>
      </c>
      <c r="D88" s="7" t="inlineStr">
        <is>
          <t>°F</t>
        </is>
      </c>
    </row>
  </sheetData>
  <mergeCells count="49">
    <mergeCell ref="A67:H67"/>
    <mergeCell ref="A24:B24"/>
    <mergeCell ref="A30:B30"/>
    <mergeCell ref="A15:B15"/>
    <mergeCell ref="A82:B82"/>
    <mergeCell ref="A73:H73"/>
    <mergeCell ref="A11:B11"/>
    <mergeCell ref="A88:B88"/>
    <mergeCell ref="A1:H1"/>
    <mergeCell ref="A79:B79"/>
    <mergeCell ref="A6:B6"/>
    <mergeCell ref="A87:B87"/>
    <mergeCell ref="A78:B78"/>
    <mergeCell ref="A16:B16"/>
    <mergeCell ref="A7:B7"/>
    <mergeCell ref="A75:B75"/>
    <mergeCell ref="A84:B84"/>
    <mergeCell ref="A74:B74"/>
    <mergeCell ref="A80:B80"/>
    <mergeCell ref="A27:B27"/>
    <mergeCell ref="A12:B12"/>
    <mergeCell ref="A50:H50"/>
    <mergeCell ref="A56:H56"/>
    <mergeCell ref="A3:H3"/>
    <mergeCell ref="A21:B21"/>
    <mergeCell ref="A26:H26"/>
    <mergeCell ref="A86:B86"/>
    <mergeCell ref="A76:B76"/>
    <mergeCell ref="A85:B85"/>
    <mergeCell ref="A32:B32"/>
    <mergeCell ref="A14:B14"/>
    <mergeCell ref="A23:B23"/>
    <mergeCell ref="A17:B17"/>
    <mergeCell ref="A5:H5"/>
    <mergeCell ref="A8:B8"/>
    <mergeCell ref="A22:B22"/>
    <mergeCell ref="A20:B20"/>
    <mergeCell ref="A62:H62"/>
    <mergeCell ref="A29:B29"/>
    <mergeCell ref="A81:B81"/>
    <mergeCell ref="A43:H43"/>
    <mergeCell ref="A10:H10"/>
    <mergeCell ref="A28:B28"/>
    <mergeCell ref="A13:B13"/>
    <mergeCell ref="A19:H19"/>
    <mergeCell ref="A31:B31"/>
    <mergeCell ref="A77:B77"/>
    <mergeCell ref="A83:B83"/>
    <mergeCell ref="A34:H34"/>
  </mergeCells>
  <conditionalFormatting sqref="C24">
    <cfRule type="cellIs" priority="1" operator="notEqual" dxfId="0">
      <formula>1</formula>
    </cfRule>
  </conditionalFormatting>
  <dataValidations count="7">
    <dataValidation sqref="C11" showDropDown="0" showInputMessage="0" showErrorMessage="0" allowBlank="0" type="list">
      <formula1>=$A$36:$A$41</formula1>
    </dataValidation>
    <dataValidation sqref="C12" showDropDown="0" showInputMessage="0" showErrorMessage="0" allowBlank="0" type="list">
      <formula1>=$A$45:$A$48</formula1>
    </dataValidation>
    <dataValidation sqref="C13" showDropDown="0" showInputMessage="0" showErrorMessage="0" allowBlank="0" type="list">
      <formula1>=$A$52:$A$54</formula1>
    </dataValidation>
    <dataValidation sqref="C14" showDropDown="0" showInputMessage="0" showErrorMessage="0" allowBlank="0" type="list">
      <formula1>=$A$58:$A$60</formula1>
    </dataValidation>
    <dataValidation sqref="C15" showDropDown="0" showInputMessage="0" showErrorMessage="0" allowBlank="0" type="list">
      <formula1>=$A$64:$A$65</formula1>
    </dataValidation>
    <dataValidation sqref="C17" showDropDown="0" showInputMessage="0" showErrorMessage="0" allowBlank="0" type="list">
      <formula1>=$A$69:$A$71</formula1>
    </dataValidation>
    <dataValidation sqref="C16" showDropDown="0" showInputMessage="0" showErrorMessage="0" allowBlank="0" type="list">
      <formula1>"Direct-to-Chip Liquid Cooling,Air-Cooled CRAH (future)"</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8"/>
  <sheetViews>
    <sheetView showGridLines="0" workbookViewId="0">
      <selection activeCell="A1" sqref="A1"/>
    </sheetView>
  </sheetViews>
  <sheetFormatPr baseColWidth="8" defaultRowHeight="15"/>
  <cols>
    <col width="34" customWidth="1" min="1" max="1"/>
    <col width="16" customWidth="1" min="2" max="2"/>
    <col width="14" customWidth="1" min="3" max="3"/>
    <col width="40" customWidth="1" min="4" max="4"/>
  </cols>
  <sheetData>
    <row r="1" ht="26" customHeight="1">
      <c r="A1" s="1" t="inlineStr">
        <is>
          <t>CONSTANTS — Physical &amp; Unit Conversion Constants</t>
        </is>
      </c>
    </row>
    <row r="2"/>
    <row r="3">
      <c r="A3" s="2" t="inlineStr">
        <is>
          <t>Universal constants used throughout the model. Not scenario-dependent.</t>
        </is>
      </c>
    </row>
    <row r="4"/>
    <row r="5">
      <c r="A5" s="4" t="inlineStr">
        <is>
          <t>Hours per Year</t>
        </is>
      </c>
      <c r="C5" s="30" t="n">
        <v>8760</v>
      </c>
      <c r="D5" s="7" t="inlineStr">
        <is>
          <t>hr/yr</t>
        </is>
      </c>
    </row>
    <row r="6">
      <c r="A6" s="4" t="inlineStr">
        <is>
          <t>Liters per US Gallon</t>
        </is>
      </c>
      <c r="C6" s="31" t="n">
        <v>3.78541</v>
      </c>
    </row>
    <row r="7">
      <c r="A7" s="4" t="inlineStr">
        <is>
          <t>kWh per MWh</t>
        </is>
      </c>
      <c r="C7" s="30" t="n">
        <v>1000</v>
      </c>
    </row>
    <row r="8">
      <c r="A8" s="4" t="inlineStr">
        <is>
          <t>kW per MW</t>
        </is>
      </c>
      <c r="C8" s="30" t="n">
        <v>1000</v>
      </c>
    </row>
  </sheetData>
  <mergeCells count="6">
    <mergeCell ref="A1:D1"/>
    <mergeCell ref="A7:B7"/>
    <mergeCell ref="A3:D3"/>
    <mergeCell ref="A5:B5"/>
    <mergeCell ref="A8:B8"/>
    <mergeCell ref="A6:B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
  <sheetViews>
    <sheetView showGridLines="0" workbookViewId="0">
      <selection activeCell="A1" sqref="A1"/>
    </sheetView>
  </sheetViews>
  <sheetFormatPr baseColWidth="8" defaultRowHeight="15"/>
  <cols>
    <col width="16" customWidth="1" min="1" max="1"/>
    <col width="34" customWidth="1" min="2" max="2"/>
    <col width="12" customWidth="1" min="3" max="3"/>
    <col width="12" customWidth="1" min="4" max="4"/>
    <col width="22" customWidth="1" min="5" max="5"/>
    <col width="32" customWidth="1" min="6" max="6"/>
    <col width="10" customWidth="1" min="7" max="7"/>
    <col width="46" customWidth="1" min="8" max="8"/>
  </cols>
  <sheetData>
    <row r="1" ht="26" customHeight="1">
      <c r="A1" s="1" t="inlineStr">
        <is>
          <t>ASSUMPTIONS — Full Documentation of Every Engineering Assumption</t>
        </is>
      </c>
    </row>
    <row r="2"/>
    <row r="3">
      <c r="A3" s="2" t="inlineStr">
        <is>
          <t>Every hardcoded coefficient in this workbook is documented here with its source, publication, and year. Values marked 'Representative' are engineering estimates consistent with the cited organization's published ranges/methodology, not a directly-quoted figure — verify against the primary source before detailed engineering use.</t>
        </is>
      </c>
    </row>
    <row r="4"/>
    <row r="5" ht="30" customHeight="1">
      <c r="A5" s="15" t="inlineStr">
        <is>
          <t>Category</t>
        </is>
      </c>
      <c r="B5" s="15" t="inlineStr">
        <is>
          <t>Assumption</t>
        </is>
      </c>
      <c r="C5" s="15" t="inlineStr">
        <is>
          <t>Value</t>
        </is>
      </c>
      <c r="D5" s="15" t="inlineStr">
        <is>
          <t>Units</t>
        </is>
      </c>
      <c r="E5" s="15" t="inlineStr">
        <is>
          <t>Source Org</t>
        </is>
      </c>
      <c r="F5" s="15" t="inlineStr">
        <is>
          <t>Publication</t>
        </is>
      </c>
      <c r="G5" s="15" t="inlineStr">
        <is>
          <t>Year</t>
        </is>
      </c>
      <c r="H5" s="15" t="inlineStr">
        <is>
          <t>Notes</t>
        </is>
      </c>
    </row>
    <row r="6">
      <c r="A6" s="16" t="inlineStr">
        <is>
          <t>Equipment Efficiency</t>
        </is>
      </c>
      <c r="B6" s="16" t="inlineStr">
        <is>
          <t>UPS Efficiency</t>
        </is>
      </c>
      <c r="C6" s="32" t="n">
        <v>0.97</v>
      </c>
      <c r="D6" s="16" t="inlineStr">
        <is>
          <t>fraction</t>
        </is>
      </c>
      <c r="E6" s="16" t="inlineStr">
        <is>
          <t>LBNL</t>
        </is>
      </c>
      <c r="F6" s="16" t="inlineStr">
        <is>
          <t>United States Data Center Energy Usage Report</t>
        </is>
      </c>
      <c r="G6" s="16" t="n">
        <v>2016</v>
      </c>
      <c r="H6" s="16" t="inlineStr">
        <is>
          <t>Representative value for modern double-conversion / lithium-ion UPS; industry-typical range 0.95-0.98</t>
        </is>
      </c>
    </row>
    <row r="7">
      <c r="A7" s="20" t="inlineStr">
        <is>
          <t>Equipment Efficiency</t>
        </is>
      </c>
      <c r="B7" s="20" t="inlineStr">
        <is>
          <t>Transformer Efficiency</t>
        </is>
      </c>
      <c r="C7" s="33" t="n">
        <v>0.99</v>
      </c>
      <c r="D7" s="20" t="inlineStr">
        <is>
          <t>fraction</t>
        </is>
      </c>
      <c r="E7" s="20" t="inlineStr">
        <is>
          <t>DOE</t>
        </is>
      </c>
      <c r="F7" s="20" t="inlineStr">
        <is>
          <t>Better Buildings — Data Center Efficiency</t>
        </is>
      </c>
      <c r="G7" s="20" t="inlineStr">
        <is>
          <t>ongoing</t>
        </is>
      </c>
      <c r="H7" s="20" t="inlineStr">
        <is>
          <t>Representative dry-type transformer efficiency at rated load</t>
        </is>
      </c>
    </row>
    <row r="8">
      <c r="A8" s="16" t="inlineStr">
        <is>
          <t>Equipment Efficiency</t>
        </is>
      </c>
      <c r="B8" s="16" t="inlineStr">
        <is>
          <t>Electrical Distribution Loss</t>
        </is>
      </c>
      <c r="C8" s="32" t="n">
        <v>0.01</v>
      </c>
      <c r="D8" s="16" t="inlineStr">
        <is>
          <t>fraction</t>
        </is>
      </c>
      <c r="E8" s="16" t="inlineStr">
        <is>
          <t>LBNL</t>
        </is>
      </c>
      <c r="F8" s="16" t="inlineStr">
        <is>
          <t>United States Data Center Energy Usage Report</t>
        </is>
      </c>
      <c r="G8" s="16" t="n">
        <v>2016</v>
      </c>
      <c r="H8" s="16" t="inlineStr">
        <is>
          <t>Representative facility-level busway/PDU/cabling loss beyond UPS and transformer stages</t>
        </is>
      </c>
    </row>
    <row r="9">
      <c r="A9" s="20" t="inlineStr">
        <is>
          <t>Heat Capture</t>
        </is>
      </c>
      <c r="B9" s="20" t="inlineStr">
        <is>
          <t>Direct-to-Chip Heat Capture Fraction</t>
        </is>
      </c>
      <c r="C9" s="33" t="n">
        <v>0.75</v>
      </c>
      <c r="D9" s="20" t="inlineStr">
        <is>
          <t>fraction</t>
        </is>
      </c>
      <c r="E9" s="20" t="inlineStr">
        <is>
          <t>ASHRAE TC9.9</t>
        </is>
      </c>
      <c r="F9" s="20" t="inlineStr">
        <is>
          <t>Liquid Cooling Guidelines</t>
        </is>
      </c>
      <c r="G9" s="20" t="n">
        <v>2021</v>
      </c>
      <c r="H9" s="20" t="inlineStr">
        <is>
          <t>Representative fraction of chip heat captured directly to coolant; remainder rejected to room air via CRAH</t>
        </is>
      </c>
    </row>
    <row r="10">
      <c r="A10" s="16" t="inlineStr">
        <is>
          <t>Heat Capture</t>
        </is>
      </c>
      <c r="B10" s="16" t="inlineStr">
        <is>
          <t>Residual Room Heat Fraction</t>
        </is>
      </c>
      <c r="C10" s="32" t="n">
        <v>0.25</v>
      </c>
      <c r="D10" s="16" t="inlineStr">
        <is>
          <t>fraction</t>
        </is>
      </c>
      <c r="E10" s="16" t="inlineStr">
        <is>
          <t>ASHRAE TC9.9</t>
        </is>
      </c>
      <c r="F10" s="16" t="inlineStr">
        <is>
          <t>Liquid Cooling Guidelines</t>
        </is>
      </c>
      <c r="G10" s="16" t="n">
        <v>2021</v>
      </c>
      <c r="H10" s="16" t="inlineStr">
        <is>
          <t>Equals 1 minus the Direct-to-Chip Heat Capture Fraction above</t>
        </is>
      </c>
    </row>
    <row r="11">
      <c r="A11" s="20" t="inlineStr">
        <is>
          <t>Heat Recovery</t>
        </is>
      </c>
      <c r="B11" s="20" t="inlineStr">
        <is>
          <t>Recoverable Fraction of Coolant Heat</t>
        </is>
      </c>
      <c r="C11" s="33" t="n">
        <v>0.25</v>
      </c>
      <c r="D11" s="20" t="inlineStr">
        <is>
          <t>fraction</t>
        </is>
      </c>
      <c r="E11" s="20" t="inlineStr">
        <is>
          <t>RenewIT Project</t>
        </is>
      </c>
      <c r="F11" s="20" t="inlineStr">
        <is>
          <t>Green Data Centres</t>
        </is>
      </c>
      <c r="G11" s="20" t="n">
        <v>2016</v>
      </c>
      <c r="H11" s="20" t="inlineStr">
        <is>
          <t>Representative fraction of captured coolant-loop heat available at a usable temperature for heat-reuse applications</t>
        </is>
      </c>
    </row>
    <row r="12">
      <c r="A12" s="16" t="inlineStr">
        <is>
          <t>Cooling</t>
        </is>
      </c>
      <c r="B12" s="16" t="inlineStr">
        <is>
          <t>Cooling Share of Non-IT Overhead</t>
        </is>
      </c>
      <c r="C12" s="32" t="n">
        <v>0.85</v>
      </c>
      <c r="D12" s="16" t="inlineStr">
        <is>
          <t>fraction</t>
        </is>
      </c>
      <c r="E12" s="16" t="inlineStr">
        <is>
          <t>LBNL</t>
        </is>
      </c>
      <c r="F12" s="16" t="inlineStr">
        <is>
          <t>Data center benchmarking studies</t>
        </is>
      </c>
      <c r="G12" s="16" t="inlineStr">
        <is>
          <t>various</t>
        </is>
      </c>
      <c r="H12" s="16" t="inlineStr">
        <is>
          <t>Representative split of (PUE-1) overhead between the cooling plant and lighting/auxiliary loads</t>
        </is>
      </c>
    </row>
    <row r="13">
      <c r="A13" s="20" t="inlineStr">
        <is>
          <t>Cooling</t>
        </is>
      </c>
      <c r="B13" s="20" t="inlineStr">
        <is>
          <t>Lighting/Aux Share of Non-IT Overhead</t>
        </is>
      </c>
      <c r="C13" s="33" t="n">
        <v>0.15</v>
      </c>
      <c r="D13" s="20" t="inlineStr">
        <is>
          <t>fraction</t>
        </is>
      </c>
      <c r="E13" s="20" t="inlineStr">
        <is>
          <t>LBNL</t>
        </is>
      </c>
      <c r="F13" s="20" t="inlineStr">
        <is>
          <t>Data center benchmarking studies</t>
        </is>
      </c>
      <c r="G13" s="20" t="inlineStr">
        <is>
          <t>various</t>
        </is>
      </c>
      <c r="H13" s="20" t="inlineStr">
        <is>
          <t>Equals 1 minus the Cooling Share of Non-IT Overhead above</t>
        </is>
      </c>
    </row>
    <row r="14">
      <c r="A14" s="16" t="inlineStr">
        <is>
          <t>Cooling</t>
        </is>
      </c>
      <c r="B14" s="16" t="inlineStr">
        <is>
          <t>CDU Thermal Effectiveness</t>
        </is>
      </c>
      <c r="C14" s="32" t="n">
        <v>0.95</v>
      </c>
      <c r="D14" s="16" t="inlineStr">
        <is>
          <t>fraction</t>
        </is>
      </c>
      <c r="E14" s="16" t="inlineStr">
        <is>
          <t>ASHRAE TC9.9</t>
        </is>
      </c>
      <c r="F14" s="16" t="inlineStr">
        <is>
          <t>Liquid Cooling Guidelines</t>
        </is>
      </c>
      <c r="G14" s="16" t="n">
        <v>2021</v>
      </c>
      <c r="H14" s="16" t="inlineStr">
        <is>
          <t>Representative Coolant Distribution Unit (CDU) heat-exchanger effectiveness</t>
        </is>
      </c>
    </row>
    <row r="15">
      <c r="A15" s="20" t="inlineStr">
        <is>
          <t>Cooling</t>
        </is>
      </c>
      <c r="B15" s="20" t="inlineStr">
        <is>
          <t>Pump Efficiency</t>
        </is>
      </c>
      <c r="C15" s="33" t="n">
        <v>0.78</v>
      </c>
      <c r="D15" s="20" t="inlineStr">
        <is>
          <t>fraction</t>
        </is>
      </c>
      <c r="E15" s="20" t="inlineStr">
        <is>
          <t>DOE</t>
        </is>
      </c>
      <c r="F15" s="20" t="inlineStr">
        <is>
          <t>Better Buildings — Data Center Efficiency</t>
        </is>
      </c>
      <c r="G15" s="20" t="inlineStr">
        <is>
          <t>ongoing</t>
        </is>
      </c>
      <c r="H15" s="20" t="inlineStr">
        <is>
          <t>Representative wire-to-water efficiency for centrifugal circulation pumps</t>
        </is>
      </c>
    </row>
    <row r="16">
      <c r="A16" s="16" t="inlineStr">
        <is>
          <t>Cooling</t>
        </is>
      </c>
      <c r="B16" s="16" t="inlineStr">
        <is>
          <t>Fan Efficiency</t>
        </is>
      </c>
      <c r="C16" s="32" t="n">
        <v>0.7</v>
      </c>
      <c r="D16" s="16" t="inlineStr">
        <is>
          <t>fraction</t>
        </is>
      </c>
      <c r="E16" s="16" t="inlineStr">
        <is>
          <t>DOE</t>
        </is>
      </c>
      <c r="F16" s="16" t="inlineStr">
        <is>
          <t>Better Buildings — Data Center Efficiency</t>
        </is>
      </c>
      <c r="G16" s="16" t="inlineStr">
        <is>
          <t>ongoing</t>
        </is>
      </c>
      <c r="H16" s="16" t="inlineStr">
        <is>
          <t>Representative efficiency for cooling-tower / dry-cooler fans</t>
        </is>
      </c>
    </row>
    <row r="17">
      <c r="A17" s="20" t="inlineStr">
        <is>
          <t>Cooling</t>
        </is>
      </c>
      <c r="B17" s="20" t="inlineStr">
        <is>
          <t>Free-Cooling Load Reduction Effectiveness</t>
        </is>
      </c>
      <c r="C17" s="33" t="n">
        <v>0.6</v>
      </c>
      <c r="D17" s="20" t="inlineStr">
        <is>
          <t>fraction</t>
        </is>
      </c>
      <c r="E17" s="20" t="inlineStr">
        <is>
          <t>ASHRAE TC9.9</t>
        </is>
      </c>
      <c r="F17" s="20" t="inlineStr">
        <is>
          <t>Economizer / free-cooling guidance</t>
        </is>
      </c>
      <c r="G17" s="20" t="inlineStr">
        <is>
          <t>various</t>
        </is>
      </c>
      <c r="H17" s="20" t="inlineStr">
        <is>
          <t>Representative reduction in mechanical cooling energy achieved during free-cooling hours (vs full mechanical load)</t>
        </is>
      </c>
    </row>
    <row r="18">
      <c r="A18" s="16" t="inlineStr">
        <is>
          <t>Water</t>
        </is>
      </c>
      <c r="B18" s="16" t="inlineStr">
        <is>
          <t>Evaporative Cooling — Evaporated Share</t>
        </is>
      </c>
      <c r="C18" s="32" t="n">
        <v>0.8</v>
      </c>
      <c r="D18" s="16" t="inlineStr">
        <is>
          <t>fraction</t>
        </is>
      </c>
      <c r="E18" s="16" t="inlineStr">
        <is>
          <t>The Green Grid</t>
        </is>
      </c>
      <c r="F18" s="16" t="inlineStr">
        <is>
          <t>Water Usage Effectiveness (WUE) white paper</t>
        </is>
      </c>
      <c r="G18" s="16" t="n">
        <v>2011</v>
      </c>
      <c r="H18" s="16" t="inlineStr">
        <is>
          <t>Representative share of cooling-tower makeup water lost to evaporation vs blowdown, at typical cycles of concentration</t>
        </is>
      </c>
    </row>
    <row r="19">
      <c r="A19" s="20" t="inlineStr">
        <is>
          <t>Water</t>
        </is>
      </c>
      <c r="B19" s="20" t="inlineStr">
        <is>
          <t>Evaporative Cooling — Blowdown Share</t>
        </is>
      </c>
      <c r="C19" s="33" t="n">
        <v>0.2</v>
      </c>
      <c r="D19" s="20" t="inlineStr">
        <is>
          <t>fraction</t>
        </is>
      </c>
      <c r="E19" s="20" t="inlineStr">
        <is>
          <t>The Green Grid</t>
        </is>
      </c>
      <c r="F19" s="20" t="inlineStr">
        <is>
          <t>Water Usage Effectiveness (WUE) white paper</t>
        </is>
      </c>
      <c r="G19" s="20" t="n">
        <v>2011</v>
      </c>
      <c r="H19" s="20" t="inlineStr">
        <is>
          <t>Equals 1 minus the Evaporative Cooling Evaporated Share above</t>
        </is>
      </c>
    </row>
    <row r="20">
      <c r="A20" s="16" t="inlineStr">
        <is>
          <t>Water</t>
        </is>
      </c>
      <c r="B20" s="16" t="inlineStr">
        <is>
          <t>Adiabatic Dry Cooler — Blowdown Share</t>
        </is>
      </c>
      <c r="C20" s="32" t="n">
        <v>0.05</v>
      </c>
      <c r="D20" s="16" t="inlineStr">
        <is>
          <t>fraction</t>
        </is>
      </c>
      <c r="E20" s="16" t="inlineStr">
        <is>
          <t>ASHRAE TC9.9</t>
        </is>
      </c>
      <c r="F20" s="16" t="inlineStr">
        <is>
          <t>Liquid Cooling Guidelines</t>
        </is>
      </c>
      <c r="G20" s="16" t="n">
        <v>2021</v>
      </c>
      <c r="H20" s="16" t="inlineStr">
        <is>
          <t>Representative: adiabatic pre-cooling uses water intermittently with minimal blowdown</t>
        </is>
      </c>
    </row>
    <row r="21">
      <c r="A21" s="20" t="inlineStr">
        <is>
          <t>Carbon</t>
        </is>
      </c>
      <c r="B21" s="20" t="inlineStr">
        <is>
          <t>CAISO Grid Carbon Intensity</t>
        </is>
      </c>
      <c r="C21" s="33" t="n">
        <v>0.225</v>
      </c>
      <c r="D21" s="20" t="inlineStr">
        <is>
          <t>kg CO2/kWh</t>
        </is>
      </c>
      <c r="E21" s="20" t="inlineStr">
        <is>
          <t>CAISO / EPA</t>
        </is>
      </c>
      <c r="F21" s="20" t="inlineStr">
        <is>
          <t>CAISO Fuel Mix; EPA eGRID (CAMX subregion)</t>
        </is>
      </c>
      <c r="G21" s="20" t="n">
        <v>2023</v>
      </c>
      <c r="H21" s="20" t="inlineStr">
        <is>
          <t>Representative annual average; actual intensity varies hourly — production deployment should call the CAISO real-time API</t>
        </is>
      </c>
    </row>
    <row r="22">
      <c r="A22" s="16" t="inlineStr">
        <is>
          <t>Carbon</t>
        </is>
      </c>
      <c r="B22" s="16" t="inlineStr">
        <is>
          <t>Solar / Battery Carbon Intensity</t>
        </is>
      </c>
      <c r="C22" s="32" t="n">
        <v>0</v>
      </c>
      <c r="D22" s="16" t="inlineStr">
        <is>
          <t>kg CO2/kWh</t>
        </is>
      </c>
      <c r="E22" s="16" t="inlineStr">
        <is>
          <t>Model assumption</t>
        </is>
      </c>
      <c r="F22" s="16" t="inlineStr">
        <is>
          <t>n/a</t>
        </is>
      </c>
      <c r="G22" s="16" t="inlineStr">
        <is>
          <t>n/a</t>
        </is>
      </c>
      <c r="H22" s="16" t="inlineStr">
        <is>
          <t>Battery discharge treated as carbon-free on the modeling assumption that BESS is predominantly charged from on-site solar in this scenario</t>
        </is>
      </c>
    </row>
    <row r="23">
      <c r="A23" s="20" t="inlineStr">
        <is>
          <t>Carbon</t>
        </is>
      </c>
      <c r="B23" s="20" t="inlineStr">
        <is>
          <t>Diesel Generator Carbon Intensity</t>
        </is>
      </c>
      <c r="C23" s="33" t="n">
        <v>0.7</v>
      </c>
      <c r="D23" s="20" t="inlineStr">
        <is>
          <t>kg CO2/kWh</t>
        </is>
      </c>
      <c r="E23" s="20" t="inlineStr">
        <is>
          <t>EPA</t>
        </is>
      </c>
      <c r="F23" s="20" t="inlineStr">
        <is>
          <t>Emission Factors for Greenhouse Gas Inventories</t>
        </is>
      </c>
      <c r="G23" s="20" t="n">
        <v>2023</v>
      </c>
      <c r="H23" s="20" t="inlineStr">
        <is>
          <t>Representative diesel standby generator emission factor</t>
        </is>
      </c>
    </row>
    <row r="24">
      <c r="A24" s="16" t="inlineStr">
        <is>
          <t>Climate</t>
        </is>
      </c>
      <c r="B24" s="16" t="inlineStr">
        <is>
          <t>California Climate Zone parameters (wet-bulb, free-cooling hours, solar yield)</t>
        </is>
      </c>
      <c r="C24" s="32" t="n"/>
      <c r="D24" s="16" t="inlineStr">
        <is>
          <t>see Inputs sheet</t>
        </is>
      </c>
      <c r="E24" s="16" t="inlineStr">
        <is>
          <t>CEC / ASHRAE / NREL</t>
        </is>
      </c>
      <c r="F24" s="16" t="inlineStr">
        <is>
          <t>CEC Climate Zones 1-16; ASHRAE 169 Climatic Design Conditions; NREL PVWatts</t>
        </is>
      </c>
      <c r="G24" s="16" t="inlineStr">
        <is>
          <t>various</t>
        </is>
      </c>
      <c r="H24" s="16" t="inlineStr">
        <is>
          <t>Representative engineering estimates by California climate zone — see Climate Zone Reference Table on the Inputs sheet; verify against local ASHRAE 169 station data for detailed design</t>
        </is>
      </c>
    </row>
    <row r="25">
      <c r="A25" s="34" t="inlineStr">
        <is>
          <t>Cooling</t>
        </is>
      </c>
      <c r="B25" s="34" t="inlineStr">
        <is>
          <t>Pump Share of Cooling Electrical Load</t>
        </is>
      </c>
      <c r="C25" s="35" t="n">
        <v>0.2</v>
      </c>
      <c r="D25" s="34" t="inlineStr">
        <is>
          <t>fraction</t>
        </is>
      </c>
      <c r="E25" s="34" t="inlineStr">
        <is>
          <t>DOE</t>
        </is>
      </c>
      <c r="F25" s="34" t="inlineStr">
        <is>
          <t>Better Buildings — Data Center Efficiency</t>
        </is>
      </c>
      <c r="G25" s="34" t="inlineStr">
        <is>
          <t>ongoing</t>
        </is>
      </c>
      <c r="H25" s="34" t="inlineStr">
        <is>
          <t>Representative illustrative split of cooling-plant electrical draw attributable to circulation pumps</t>
        </is>
      </c>
    </row>
    <row r="26">
      <c r="A26" s="34" t="inlineStr">
        <is>
          <t>Cooling</t>
        </is>
      </c>
      <c r="B26" s="34" t="inlineStr">
        <is>
          <t>Fan Share of Cooling Electrical Load</t>
        </is>
      </c>
      <c r="C26" s="35" t="n">
        <v>0.15</v>
      </c>
      <c r="D26" s="34" t="inlineStr">
        <is>
          <t>fraction</t>
        </is>
      </c>
      <c r="E26" s="34" t="inlineStr">
        <is>
          <t>DOE</t>
        </is>
      </c>
      <c r="F26" s="34" t="inlineStr">
        <is>
          <t>Better Buildings — Data Center Efficiency</t>
        </is>
      </c>
      <c r="G26" s="34" t="inlineStr">
        <is>
          <t>ongoing</t>
        </is>
      </c>
      <c r="H26" s="34" t="inlineStr">
        <is>
          <t>Representative illustrative split of cooling-plant electrical draw attributable to tower/dry-cooler fans</t>
        </is>
      </c>
    </row>
    <row r="27">
      <c r="A27" s="34" t="inlineStr">
        <is>
          <t>Water</t>
        </is>
      </c>
      <c r="B27" s="34" t="inlineStr">
        <is>
          <t>Evaporative Cooling — Evaporated Share</t>
        </is>
      </c>
      <c r="C27" s="35" t="n">
        <v>0.8</v>
      </c>
      <c r="D27" s="34" t="inlineStr">
        <is>
          <t>fraction</t>
        </is>
      </c>
      <c r="E27" s="34" t="inlineStr">
        <is>
          <t>The Green Grid</t>
        </is>
      </c>
      <c r="F27" s="34" t="inlineStr">
        <is>
          <t>Water Usage Effectiveness (WUE) white paper</t>
        </is>
      </c>
      <c r="G27" s="34" t="n">
        <v>2011</v>
      </c>
      <c r="H27" s="34" t="inlineStr">
        <is>
          <t>Duplicate of the earlier Water-category row; kept adjacent to its Adiabatic counterpart for readability</t>
        </is>
      </c>
    </row>
    <row r="28">
      <c r="A28" s="34" t="inlineStr">
        <is>
          <t>Water</t>
        </is>
      </c>
      <c r="B28" s="34" t="inlineStr">
        <is>
          <t>Adiabatic Dry Cooler — Evaporated Share</t>
        </is>
      </c>
      <c r="C28" s="35" t="n">
        <v>0.95</v>
      </c>
      <c r="D28" s="34" t="inlineStr">
        <is>
          <t>fraction</t>
        </is>
      </c>
      <c r="E28" s="34" t="inlineStr">
        <is>
          <t>ASHRAE TC9.9</t>
        </is>
      </c>
      <c r="F28" s="34" t="inlineStr">
        <is>
          <t>Liquid Cooling Guidelines</t>
        </is>
      </c>
      <c r="G28" s="34" t="n">
        <v>2021</v>
      </c>
      <c r="H28" s="34" t="inlineStr">
        <is>
          <t>Representative: adiabatic pre-cooling water evaporates almost entirely, with minimal blowdown/drain</t>
        </is>
      </c>
    </row>
    <row r="29">
      <c r="A29" s="34" t="inlineStr">
        <is>
          <t>Electrical (granular)</t>
        </is>
      </c>
      <c r="B29" s="34" t="inlineStr">
        <is>
          <t>Utility Transformer Loss (MV-&gt;480V)</t>
        </is>
      </c>
      <c r="C29" s="35" t="n">
        <v>0.005</v>
      </c>
      <c r="D29" s="34" t="inlineStr">
        <is>
          <t>fraction</t>
        </is>
      </c>
      <c r="E29" s="34" t="inlineStr">
        <is>
          <t>User-provided reference diagram</t>
        </is>
      </c>
      <c r="F29" s="34" t="inlineStr">
        <is>
          <t>Power-flow block diagram</t>
        </is>
      </c>
      <c r="G29" s="34" t="inlineStr">
        <is>
          <t>n/a</t>
        </is>
      </c>
      <c r="H29" s="34" t="inlineStr">
        <is>
          <t>Explicit loss value labeled on the reference diagram, not a generic industry figure</t>
        </is>
      </c>
    </row>
    <row r="30">
      <c r="A30" s="34" t="inlineStr">
        <is>
          <t>Electrical (granular)</t>
        </is>
      </c>
      <c r="B30" s="34" t="inlineStr">
        <is>
          <t>LV Switchgear Loss</t>
        </is>
      </c>
      <c r="C30" s="35" t="n">
        <v>0.002</v>
      </c>
      <c r="D30" s="34" t="inlineStr">
        <is>
          <t>fraction</t>
        </is>
      </c>
      <c r="E30" s="34" t="inlineStr">
        <is>
          <t>User-provided reference diagram</t>
        </is>
      </c>
      <c r="F30" s="34" t="inlineStr">
        <is>
          <t>Power-flow block diagram</t>
        </is>
      </c>
      <c r="G30" s="34" t="inlineStr">
        <is>
          <t>n/a</t>
        </is>
      </c>
      <c r="H30" s="34" t="inlineStr">
        <is>
          <t>Explicit loss value labeled on the reference diagram</t>
        </is>
      </c>
    </row>
    <row r="31">
      <c r="A31" s="34" t="inlineStr">
        <is>
          <t>Electrical (granular)</t>
        </is>
      </c>
      <c r="B31" s="34" t="inlineStr">
        <is>
          <t>UPS Heat Loss (baseline)</t>
        </is>
      </c>
      <c r="C31" s="35" t="n">
        <v>0.02</v>
      </c>
      <c r="D31" s="34" t="inlineStr">
        <is>
          <t>fraction</t>
        </is>
      </c>
      <c r="E31" s="34" t="inlineStr">
        <is>
          <t>User-provided reference diagram</t>
        </is>
      </c>
      <c r="F31" s="34" t="inlineStr">
        <is>
          <t>Power-flow block diagram</t>
        </is>
      </c>
      <c r="G31" s="34" t="inlineStr">
        <is>
          <t>n/a</t>
        </is>
      </c>
      <c r="H31" s="34" t="inlineStr">
        <is>
          <t>Explicit loss value labeled on the reference diagram; scaled by the Reliability-tier UPS Redundancy Overhead Factor in the model</t>
        </is>
      </c>
    </row>
    <row r="32">
      <c r="A32" s="34" t="inlineStr">
        <is>
          <t>Electrical (granular)</t>
        </is>
      </c>
      <c r="B32" s="34" t="inlineStr">
        <is>
          <t>Rack PDU (rPDU) Loss</t>
        </is>
      </c>
      <c r="C32" s="35" t="n">
        <v>0.01</v>
      </c>
      <c r="D32" s="34" t="inlineStr">
        <is>
          <t>fraction</t>
        </is>
      </c>
      <c r="E32" s="34" t="inlineStr">
        <is>
          <t>User-provided reference diagram</t>
        </is>
      </c>
      <c r="F32" s="34" t="inlineStr">
        <is>
          <t>Power-flow block diagram</t>
        </is>
      </c>
      <c r="G32" s="34" t="inlineStr">
        <is>
          <t>n/a</t>
        </is>
      </c>
      <c r="H32" s="34" t="inlineStr">
        <is>
          <t>Reference diagram labels both '1%' and '2% Heat' near the two rPDU paths; the smaller, more conservative value is used as the modeled figure</t>
        </is>
      </c>
    </row>
    <row r="33">
      <c r="A33" s="34" t="inlineStr">
        <is>
          <t>Electrical (granular)</t>
        </is>
      </c>
      <c r="B33" s="34" t="inlineStr">
        <is>
          <t>Server Heat Loss Fraction</t>
        </is>
      </c>
      <c r="C33" s="35" t="n">
        <v>0.97</v>
      </c>
      <c r="D33" s="34" t="inlineStr">
        <is>
          <t>fraction</t>
        </is>
      </c>
      <c r="E33" s="34" t="inlineStr">
        <is>
          <t>User-provided reference diagram</t>
        </is>
      </c>
      <c r="F33" s="34" t="inlineStr">
        <is>
          <t>Power-flow block diagram</t>
        </is>
      </c>
      <c r="G33" s="34" t="inlineStr">
        <is>
          <t>n/a</t>
        </is>
      </c>
      <c r="H33" s="34" t="inlineStr">
        <is>
          <t>Reference diagram labels this range as 95-99%; midpoint used as the representative point value</t>
        </is>
      </c>
    </row>
  </sheetData>
  <mergeCells count="2">
    <mergeCell ref="A3:H3"/>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2"/>
  <sheetViews>
    <sheetView showGridLines="0" workbookViewId="0">
      <selection activeCell="A1" sqref="A1"/>
    </sheetView>
  </sheetViews>
  <sheetFormatPr baseColWidth="8" defaultRowHeight="15"/>
  <cols>
    <col width="38" customWidth="1" min="1" max="1"/>
    <col width="14" customWidth="1" min="2" max="2"/>
    <col width="12" customWidth="1" min="3" max="3"/>
    <col width="48" customWidth="1" min="4" max="4"/>
  </cols>
  <sheetData>
    <row r="1" ht="26" customHeight="1">
      <c r="A1" s="1" t="inlineStr">
        <is>
          <t>EQUIPMENT EFFICIENCIES — Quick-Reference Lookup Used by the Flow Sheets</t>
        </is>
      </c>
    </row>
    <row r="2"/>
    <row r="3">
      <c r="A3" s="2" t="inlineStr">
        <is>
          <t>Operational lookup layer pulled from the Assumptions sheet (full source/citation detail lives there). Flow sheets reference the named ranges defined here.</t>
        </is>
      </c>
    </row>
    <row r="4"/>
    <row r="5" ht="30" customHeight="1">
      <c r="A5" s="15" t="inlineStr">
        <is>
          <t>Equipment / Parameter</t>
        </is>
      </c>
      <c r="B5" s="15" t="inlineStr">
        <is>
          <t>Value</t>
        </is>
      </c>
      <c r="C5" s="15" t="inlineStr">
        <is>
          <t>Units</t>
        </is>
      </c>
      <c r="D5" s="15" t="inlineStr">
        <is>
          <t>Notes</t>
        </is>
      </c>
    </row>
    <row r="6">
      <c r="A6" s="16" t="inlineStr">
        <is>
          <t>UPS Efficiency</t>
        </is>
      </c>
      <c r="B6" s="19" t="n">
        <v>0.97</v>
      </c>
      <c r="C6" s="16" t="inlineStr">
        <is>
          <t>fraction</t>
        </is>
      </c>
      <c r="D6" s="16" t="inlineStr">
        <is>
          <t>See Assumptions sheet</t>
        </is>
      </c>
    </row>
    <row r="7">
      <c r="A7" s="20" t="inlineStr">
        <is>
          <t>Transformer Efficiency</t>
        </is>
      </c>
      <c r="B7" s="23" t="n">
        <v>0.99</v>
      </c>
      <c r="C7" s="20" t="inlineStr">
        <is>
          <t>fraction</t>
        </is>
      </c>
      <c r="D7" s="20" t="inlineStr">
        <is>
          <t>See Assumptions sheet</t>
        </is>
      </c>
    </row>
    <row r="8">
      <c r="A8" s="16" t="inlineStr">
        <is>
          <t>Electrical Distribution Loss</t>
        </is>
      </c>
      <c r="B8" s="19" t="n">
        <v>0.01</v>
      </c>
      <c r="C8" s="16" t="inlineStr">
        <is>
          <t>fraction</t>
        </is>
      </c>
      <c r="D8" s="16" t="inlineStr">
        <is>
          <t>See Assumptions sheet</t>
        </is>
      </c>
    </row>
    <row r="9">
      <c r="A9" s="20" t="inlineStr">
        <is>
          <t>Direct-to-Chip Heat Capture Fraction</t>
        </is>
      </c>
      <c r="B9" s="23" t="n">
        <v>0.75</v>
      </c>
      <c r="C9" s="20" t="inlineStr">
        <is>
          <t>fraction</t>
        </is>
      </c>
      <c r="D9" s="20" t="inlineStr">
        <is>
          <t>See Assumptions sheet</t>
        </is>
      </c>
    </row>
    <row r="10">
      <c r="A10" s="16" t="inlineStr">
        <is>
          <t>Residual Room Heat Fraction</t>
        </is>
      </c>
      <c r="B10" s="36">
        <f>1-B9</f>
        <v/>
      </c>
      <c r="C10" s="16" t="inlineStr">
        <is>
          <t>fraction</t>
        </is>
      </c>
      <c r="D10" s="16" t="inlineStr">
        <is>
          <t>Equals 1 minus the Heat Capture Fraction above</t>
        </is>
      </c>
    </row>
    <row r="11">
      <c r="A11" s="20" t="inlineStr">
        <is>
          <t>Recoverable Fraction of Coolant Heat</t>
        </is>
      </c>
      <c r="B11" s="23" t="n">
        <v>0.25</v>
      </c>
      <c r="C11" s="20" t="inlineStr">
        <is>
          <t>fraction</t>
        </is>
      </c>
      <c r="D11" s="20" t="inlineStr">
        <is>
          <t>See Assumptions sheet</t>
        </is>
      </c>
    </row>
    <row r="12">
      <c r="A12" s="16" t="inlineStr">
        <is>
          <t>Cooling Share of Non-IT Overhead</t>
        </is>
      </c>
      <c r="B12" s="19" t="n">
        <v>0.85</v>
      </c>
      <c r="C12" s="16" t="inlineStr">
        <is>
          <t>fraction</t>
        </is>
      </c>
      <c r="D12" s="16" t="inlineStr">
        <is>
          <t>See Assumptions sheet</t>
        </is>
      </c>
    </row>
    <row r="13">
      <c r="A13" s="20" t="inlineStr">
        <is>
          <t>Aux/Lighting Share of Non-IT Overhead</t>
        </is>
      </c>
      <c r="B13" s="37">
        <f>1-B12</f>
        <v/>
      </c>
      <c r="C13" s="20" t="inlineStr">
        <is>
          <t>fraction</t>
        </is>
      </c>
      <c r="D13" s="20" t="inlineStr">
        <is>
          <t>Equals 1 minus the Cooling Share above</t>
        </is>
      </c>
    </row>
    <row r="14">
      <c r="A14" s="16" t="inlineStr">
        <is>
          <t>CDU Thermal Effectiveness</t>
        </is>
      </c>
      <c r="B14" s="19" t="n">
        <v>0.95</v>
      </c>
      <c r="C14" s="16" t="inlineStr">
        <is>
          <t>fraction</t>
        </is>
      </c>
      <c r="D14" s="16" t="inlineStr">
        <is>
          <t>See Assumptions sheet</t>
        </is>
      </c>
    </row>
    <row r="15">
      <c r="A15" s="20" t="inlineStr">
        <is>
          <t>Pump Efficiency</t>
        </is>
      </c>
      <c r="B15" s="23" t="n">
        <v>0.78</v>
      </c>
      <c r="C15" s="20" t="inlineStr">
        <is>
          <t>fraction</t>
        </is>
      </c>
      <c r="D15" s="20" t="inlineStr">
        <is>
          <t>See Assumptions sheet</t>
        </is>
      </c>
    </row>
    <row r="16">
      <c r="A16" s="16" t="inlineStr">
        <is>
          <t>Fan Efficiency</t>
        </is>
      </c>
      <c r="B16" s="19" t="n">
        <v>0.7</v>
      </c>
      <c r="C16" s="16" t="inlineStr">
        <is>
          <t>fraction</t>
        </is>
      </c>
      <c r="D16" s="16" t="inlineStr">
        <is>
          <t>See Assumptions sheet</t>
        </is>
      </c>
    </row>
    <row r="17">
      <c r="A17" s="20" t="inlineStr">
        <is>
          <t>Free-Cooling Load Reduction Effectiveness</t>
        </is>
      </c>
      <c r="B17" s="23" t="n">
        <v>0.6</v>
      </c>
      <c r="C17" s="20" t="inlineStr">
        <is>
          <t>fraction</t>
        </is>
      </c>
      <c r="D17" s="20" t="inlineStr">
        <is>
          <t>See Assumptions sheet</t>
        </is>
      </c>
    </row>
    <row r="18"/>
    <row r="19"/>
    <row r="20">
      <c r="A20" s="4" t="inlineStr">
        <is>
          <t>Additional splits used by Cooling Flow / Water Flow sheets</t>
        </is>
      </c>
    </row>
    <row r="21">
      <c r="A21" s="38" t="inlineStr">
        <is>
          <t>Pump Share of Cooling Electrical Load</t>
        </is>
      </c>
      <c r="B21" s="39" t="n">
        <v>0.2</v>
      </c>
      <c r="C21" s="38" t="inlineStr">
        <is>
          <t>fraction</t>
        </is>
      </c>
      <c r="D21" s="38" t="inlineStr">
        <is>
          <t>See Assumptions sheet</t>
        </is>
      </c>
    </row>
    <row r="22">
      <c r="A22" s="38" t="inlineStr">
        <is>
          <t>Fan Share of Cooling Electrical Load</t>
        </is>
      </c>
      <c r="B22" s="39" t="n">
        <v>0.15</v>
      </c>
      <c r="C22" s="38" t="inlineStr">
        <is>
          <t>fraction</t>
        </is>
      </c>
      <c r="D22" s="38" t="inlineStr">
        <is>
          <t>See Assumptions sheet</t>
        </is>
      </c>
    </row>
    <row r="23">
      <c r="A23" s="38" t="inlineStr">
        <is>
          <t>Evaporative Cooling — Evaporated Share</t>
        </is>
      </c>
      <c r="B23" s="39" t="n">
        <v>0.8</v>
      </c>
      <c r="C23" s="38" t="inlineStr">
        <is>
          <t>fraction</t>
        </is>
      </c>
      <c r="D23" s="38" t="inlineStr">
        <is>
          <t>See Assumptions sheet</t>
        </is>
      </c>
    </row>
    <row r="24">
      <c r="A24" s="38" t="inlineStr">
        <is>
          <t>Adiabatic Dry Cooler — Evaporated Share</t>
        </is>
      </c>
      <c r="B24" s="39" t="n">
        <v>0.95</v>
      </c>
      <c r="C24" s="38" t="inlineStr">
        <is>
          <t>fraction</t>
        </is>
      </c>
      <c r="D24" s="38" t="inlineStr">
        <is>
          <t>See Assumptions sheet</t>
        </is>
      </c>
    </row>
    <row r="25"/>
    <row r="26"/>
    <row r="27">
      <c r="A27" s="4" t="inlineStr">
        <is>
          <t>Granular power-flow topology constants (source: user-provided reference diagram)</t>
        </is>
      </c>
    </row>
    <row r="28">
      <c r="A28" s="38" t="inlineStr">
        <is>
          <t>Utility Transformer Loss (MV-&gt;480V)</t>
        </is>
      </c>
      <c r="B28" s="40" t="n">
        <v>0.005</v>
      </c>
      <c r="C28" s="38" t="inlineStr">
        <is>
          <t>fraction</t>
        </is>
      </c>
      <c r="D28" s="38" t="inlineStr">
        <is>
          <t>Reference diagram</t>
        </is>
      </c>
    </row>
    <row r="29">
      <c r="A29" s="38" t="inlineStr">
        <is>
          <t>LV Switchgear Loss</t>
        </is>
      </c>
      <c r="B29" s="40" t="n">
        <v>0.002</v>
      </c>
      <c r="C29" s="38" t="inlineStr">
        <is>
          <t>fraction</t>
        </is>
      </c>
      <c r="D29" s="38" t="inlineStr">
        <is>
          <t>Reference diagram</t>
        </is>
      </c>
    </row>
    <row r="30">
      <c r="A30" s="38" t="inlineStr">
        <is>
          <t>UPS Heat Loss (baseline, before Reliability-tier scaling)</t>
        </is>
      </c>
      <c r="B30" s="40" t="n">
        <v>0.02</v>
      </c>
      <c r="C30" s="38" t="inlineStr">
        <is>
          <t>fraction</t>
        </is>
      </c>
      <c r="D30" s="38" t="inlineStr">
        <is>
          <t>Reference diagram</t>
        </is>
      </c>
    </row>
    <row r="31">
      <c r="A31" s="38" t="inlineStr">
        <is>
          <t>Rack PDU (rPDU) Loss</t>
        </is>
      </c>
      <c r="B31" s="40" t="n">
        <v>0.01</v>
      </c>
      <c r="C31" s="38" t="inlineStr">
        <is>
          <t>fraction</t>
        </is>
      </c>
      <c r="D31" s="38" t="inlineStr">
        <is>
          <t>Reference diagram</t>
        </is>
      </c>
    </row>
    <row r="32">
      <c r="A32" s="38" t="inlineStr">
        <is>
          <t>Server Heat Loss Fraction (chip power -&gt; heat)</t>
        </is>
      </c>
      <c r="B32" s="40" t="n">
        <v>0.97</v>
      </c>
      <c r="C32" s="38" t="inlineStr">
        <is>
          <t>fraction</t>
        </is>
      </c>
      <c r="D32" s="38" t="inlineStr">
        <is>
          <t>Reference diagram (95-99% range, midpoint used)</t>
        </is>
      </c>
    </row>
    <row r="33"/>
    <row r="34">
      <c r="A34" s="4" t="inlineStr">
        <is>
          <t>Illustrative splits — reference diagram shows the branches but not their relative sizes</t>
        </is>
      </c>
    </row>
    <row r="35">
      <c r="A35" s="38" t="inlineStr">
        <is>
          <t>IT Hardware Mix — GPU share</t>
        </is>
      </c>
      <c r="B35" s="39" t="n">
        <v>0.55</v>
      </c>
      <c r="C35" s="38" t="inlineStr">
        <is>
          <t>fraction</t>
        </is>
      </c>
      <c r="D35" s="38" t="inlineStr">
        <is>
          <t>Illustrative, AI-training-weighted fleet</t>
        </is>
      </c>
    </row>
    <row r="36">
      <c r="A36" s="38" t="inlineStr">
        <is>
          <t>IT Hardware Mix — TPU share</t>
        </is>
      </c>
      <c r="B36" s="39" t="n">
        <v>0.15</v>
      </c>
      <c r="C36" s="38" t="inlineStr">
        <is>
          <t>fraction</t>
        </is>
      </c>
      <c r="D36" s="38" t="inlineStr">
        <is>
          <t>Illustrative, AI-training-weighted fleet</t>
        </is>
      </c>
    </row>
    <row r="37">
      <c r="A37" s="38" t="inlineStr">
        <is>
          <t>IT Hardware Mix — CPU share</t>
        </is>
      </c>
      <c r="B37" s="39" t="n">
        <v>0.12</v>
      </c>
      <c r="C37" s="38" t="inlineStr">
        <is>
          <t>fraction</t>
        </is>
      </c>
      <c r="D37" s="38" t="inlineStr">
        <is>
          <t>Illustrative, AI-training-weighted fleet</t>
        </is>
      </c>
    </row>
    <row r="38">
      <c r="A38" s="38" t="inlineStr">
        <is>
          <t>IT Hardware Mix — ASIC share</t>
        </is>
      </c>
      <c r="B38" s="39" t="n">
        <v>0.08</v>
      </c>
      <c r="C38" s="38" t="inlineStr">
        <is>
          <t>fraction</t>
        </is>
      </c>
      <c r="D38" s="38" t="inlineStr">
        <is>
          <t>Illustrative, AI-training-weighted fleet</t>
        </is>
      </c>
    </row>
    <row r="39">
      <c r="A39" s="38" t="inlineStr">
        <is>
          <t>IT Hardware Mix — MPU share</t>
        </is>
      </c>
      <c r="B39" s="39" t="n">
        <v>0.06</v>
      </c>
      <c r="C39" s="38" t="inlineStr">
        <is>
          <t>fraction</t>
        </is>
      </c>
      <c r="D39" s="38" t="inlineStr">
        <is>
          <t>Illustrative, AI-training-weighted fleet</t>
        </is>
      </c>
    </row>
    <row r="40">
      <c r="A40" s="38" t="inlineStr">
        <is>
          <t>IT Hardware Mix — Server Fans share</t>
        </is>
      </c>
      <c r="B40" s="39" t="n">
        <v>0.04</v>
      </c>
      <c r="C40" s="38" t="inlineStr">
        <is>
          <t>fraction</t>
        </is>
      </c>
      <c r="D40" s="38" t="inlineStr">
        <is>
          <t>Illustrative, AI-training-weighted fleet</t>
        </is>
      </c>
    </row>
    <row r="41">
      <c r="A41" s="38" t="inlineStr">
        <is>
          <t>CRAH Split — Room/White Space share</t>
        </is>
      </c>
      <c r="B41" s="39" t="n">
        <v>0.6</v>
      </c>
      <c r="C41" s="38" t="inlineStr">
        <is>
          <t>fraction</t>
        </is>
      </c>
      <c r="D41" s="38" t="inlineStr">
        <is>
          <t>Illustrative</t>
        </is>
      </c>
    </row>
    <row r="42">
      <c r="A42" s="38" t="inlineStr">
        <is>
          <t>CRAH Split — Server Hall share</t>
        </is>
      </c>
      <c r="B42" s="39" t="n">
        <v>0.4</v>
      </c>
      <c r="C42" s="38" t="inlineStr">
        <is>
          <t>fraction</t>
        </is>
      </c>
      <c r="D42" s="38" t="inlineStr">
        <is>
          <t>Illustrative</t>
        </is>
      </c>
    </row>
    <row r="43">
      <c r="A43" s="38" t="inlineStr">
        <is>
          <t>Room/White Space — Electrical Rooms share</t>
        </is>
      </c>
      <c r="B43" s="39" t="n">
        <v>0.4</v>
      </c>
      <c r="C43" s="38" t="inlineStr">
        <is>
          <t>fraction</t>
        </is>
      </c>
      <c r="D43" s="38" t="inlineStr">
        <is>
          <t>Illustrative</t>
        </is>
      </c>
    </row>
    <row r="44">
      <c r="A44" s="38" t="inlineStr">
        <is>
          <t>Room/White Space — Offices &amp; Control Rooms share</t>
        </is>
      </c>
      <c r="B44" s="39" t="n">
        <v>0.35</v>
      </c>
      <c r="C44" s="38" t="inlineStr">
        <is>
          <t>fraction</t>
        </is>
      </c>
      <c r="D44" s="38" t="inlineStr">
        <is>
          <t>Illustrative</t>
        </is>
      </c>
    </row>
    <row r="45">
      <c r="A45" s="38" t="inlineStr">
        <is>
          <t>Room/White Space — Battery Rooms share</t>
        </is>
      </c>
      <c r="B45" s="39" t="n">
        <v>0.25</v>
      </c>
      <c r="C45" s="38" t="inlineStr">
        <is>
          <t>fraction</t>
        </is>
      </c>
      <c r="D45" s="38" t="inlineStr">
        <is>
          <t>Illustrative</t>
        </is>
      </c>
    </row>
    <row r="46">
      <c r="A46" s="38" t="inlineStr">
        <is>
          <t>Server Hall — Networking share</t>
        </is>
      </c>
      <c r="B46" s="39" t="n">
        <v>0.55</v>
      </c>
      <c r="C46" s="38" t="inlineStr">
        <is>
          <t>fraction</t>
        </is>
      </c>
      <c r="D46" s="38" t="inlineStr">
        <is>
          <t>Illustrative</t>
        </is>
      </c>
    </row>
    <row r="47">
      <c r="A47" s="38" t="inlineStr">
        <is>
          <t>Server Hall — Storage share</t>
        </is>
      </c>
      <c r="B47" s="39" t="n">
        <v>0.45</v>
      </c>
      <c r="C47" s="38" t="inlineStr">
        <is>
          <t>fraction</t>
        </is>
      </c>
      <c r="D47" s="38" t="inlineStr">
        <is>
          <t>Illustrative</t>
        </is>
      </c>
    </row>
    <row r="48">
      <c r="A48" s="38" t="inlineStr">
        <is>
          <t>Recoverable Heat End-Use — Thermal Energy Network share</t>
        </is>
      </c>
      <c r="B48" s="39" t="n">
        <v>0.3</v>
      </c>
      <c r="C48" s="38" t="inlineStr">
        <is>
          <t>fraction</t>
        </is>
      </c>
      <c r="D48" s="38" t="inlineStr">
        <is>
          <t>Illustrative</t>
        </is>
      </c>
    </row>
    <row r="49">
      <c r="A49" s="38" t="inlineStr">
        <is>
          <t>Recoverable Heat End-Use — Campus Hot Water share</t>
        </is>
      </c>
      <c r="B49" s="39" t="n">
        <v>0.25</v>
      </c>
      <c r="C49" s="38" t="inlineStr">
        <is>
          <t>fraction</t>
        </is>
      </c>
      <c r="D49" s="38" t="inlineStr">
        <is>
          <t>Illustrative</t>
        </is>
      </c>
    </row>
    <row r="50">
      <c r="A50" s="38" t="inlineStr">
        <is>
          <t>Recoverable Heat End-Use — Absorption Chiller share</t>
        </is>
      </c>
      <c r="B50" s="39" t="n">
        <v>0.2</v>
      </c>
      <c r="C50" s="38" t="inlineStr">
        <is>
          <t>fraction</t>
        </is>
      </c>
      <c r="D50" s="38" t="inlineStr">
        <is>
          <t>Illustrative</t>
        </is>
      </c>
    </row>
    <row r="51">
      <c r="A51" s="38" t="inlineStr">
        <is>
          <t>Recoverable Heat End-Use — Thermal Energy Storage share</t>
        </is>
      </c>
      <c r="B51" s="39" t="n">
        <v>0.15</v>
      </c>
      <c r="C51" s="38" t="inlineStr">
        <is>
          <t>fraction</t>
        </is>
      </c>
      <c r="D51" s="38" t="inlineStr">
        <is>
          <t>Illustrative</t>
        </is>
      </c>
    </row>
    <row r="52">
      <c r="A52" s="38" t="inlineStr">
        <is>
          <t>Recoverable Heat End-Use — Industrial Process share</t>
        </is>
      </c>
      <c r="B52" s="39" t="n">
        <v>0.1</v>
      </c>
      <c r="C52" s="38" t="inlineStr">
        <is>
          <t>fraction</t>
        </is>
      </c>
      <c r="D52" s="38" t="inlineStr">
        <is>
          <t>Illustrative</t>
        </is>
      </c>
    </row>
  </sheetData>
  <mergeCells count="2">
    <mergeCell ref="A1:D1"/>
    <mergeCell ref="A3:D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2"/>
  <sheetViews>
    <sheetView showGridLines="0" workbookViewId="0">
      <selection activeCell="A1" sqref="A1"/>
    </sheetView>
  </sheetViews>
  <sheetFormatPr baseColWidth="8" defaultRowHeight="15"/>
  <cols>
    <col width="46" customWidth="1" min="1" max="1"/>
    <col width="16" customWidth="1" min="2" max="2"/>
    <col width="14" customWidth="1" min="3" max="3"/>
    <col width="50" customWidth="1" min="4" max="4"/>
  </cols>
  <sheetData>
    <row r="1" ht="26" customHeight="1">
      <c r="A1" s="1" t="inlineStr">
        <is>
          <t>ELECTRICITY FLOW — Utility/Solar/ESS/Generator → Chip, full granular chain</t>
        </is>
      </c>
    </row>
    <row r="2"/>
    <row r="3">
      <c r="A3" s="2" t="inlineStr">
        <is>
          <t>Matches the user-provided power-flow reference diagram node-for-node: Utility Grid / On-site Solar / ESS / Generator each through their own conversion equipment to the Main MV Bus, then MV Switchgear → Utility Transformer (0.5% loss) → LV Switchgear (0.2% loss) → ATS → IT Infrastructure/Servers vs. Lighting &amp; Building Auxiliary Loads. The IT path continues UPS (2% heat, N+1) → Distribution Panels &amp; Switchboards → PDUs → rPDUs (1% loss) → Server PSU → Motherboard → CPU/MPU/GPU/TPU/ASIC/Fans. Computed BACKWARD from the 100MW IT Load at the chip, so every upstream stage shows what it must actually deliver.</t>
        </is>
      </c>
    </row>
    <row r="4"/>
    <row r="5" ht="20" customHeight="1">
      <c r="A5" s="3" t="inlineStr">
        <is>
          <t>EFFICIENCY / PUE CALCULATION</t>
        </is>
      </c>
    </row>
    <row r="6">
      <c r="A6" s="4" t="inlineStr">
        <is>
          <t>Modeled Cooling PUE (drives the Lighting &amp; Aux sizing below — see headline PUE further down, which additionally includes electrical conversion losses)</t>
        </is>
      </c>
      <c r="C6" s="41">
        <f>1+(PUEFloor-1)*ClimateCoolingMult*HeatRejectionPUEFactor+StandbyLossPct</f>
        <v/>
      </c>
    </row>
    <row r="7">
      <c r="A7" s="4" t="inlineStr">
        <is>
          <t>WUE (Water Usage Effectiveness)</t>
        </is>
      </c>
      <c r="C7" s="12">
        <f>HeatRejectionWUEBase*ClimateWUEMult</f>
        <v/>
      </c>
      <c r="D7" s="7" t="inlineStr">
        <is>
          <t>L/kWh</t>
        </is>
      </c>
    </row>
    <row r="8"/>
    <row r="9" ht="20" customHeight="1">
      <c r="A9" s="3" t="inlineStr">
        <is>
          <t>DATA HALL / SERVER  (MW, peak/design — computed first since everything upstream is sized to deliver this)</t>
        </is>
      </c>
    </row>
    <row r="10">
      <c r="A10" s="4" t="inlineStr">
        <is>
          <t>IT Load at chip/server (100MW design capacity)</t>
        </is>
      </c>
      <c r="C10" s="12">
        <f>Facility_Capacity_MW</f>
        <v/>
      </c>
      <c r="D10" s="7" t="inlineStr">
        <is>
          <t>MW</t>
        </is>
      </c>
    </row>
    <row r="11">
      <c r="A11" s="4" t="inlineStr">
        <is>
          <t>Total Facility Load (IT + Lighting &amp; Aux, via Modeled Cooling PUE)</t>
        </is>
      </c>
      <c r="C11" s="12">
        <f>B10*B6</f>
        <v/>
      </c>
      <c r="D11" s="7" t="inlineStr">
        <is>
          <t>MW</t>
        </is>
      </c>
    </row>
    <row r="12">
      <c r="A12" s="4" t="inlineStr">
        <is>
          <t>Lighting &amp; Building Auxiliary Loads (Total Facility − IT)</t>
        </is>
      </c>
      <c r="C12" s="12">
        <f>B11-B10</f>
        <v/>
      </c>
      <c r="D12" s="7" t="inlineStr">
        <is>
          <t>MW</t>
        </is>
      </c>
    </row>
    <row r="13"/>
    <row r="14">
      <c r="A14" s="4" t="inlineStr">
        <is>
          <t>Server PSU / Motherboard (pass-through, = IT Load)</t>
        </is>
      </c>
      <c r="C14" s="12">
        <f>B10</f>
        <v/>
      </c>
      <c r="D14" s="7" t="inlineStr">
        <is>
          <t>MW</t>
        </is>
      </c>
    </row>
    <row r="15">
      <c r="A15" s="4" t="inlineStr">
        <is>
          <t xml:space="preserve">  GPU (Graphics Processing Unit)</t>
        </is>
      </c>
      <c r="C15" s="12">
        <f>$B$10*ITMix_GPU</f>
        <v/>
      </c>
      <c r="D15" s="7" t="inlineStr">
        <is>
          <t>MW</t>
        </is>
      </c>
    </row>
    <row r="16">
      <c r="A16" s="4" t="inlineStr">
        <is>
          <t xml:space="preserve">  TPU (Tensor Processing Unit)</t>
        </is>
      </c>
      <c r="C16" s="12">
        <f>$B$10*ITMix_TPU</f>
        <v/>
      </c>
      <c r="D16" s="7" t="inlineStr">
        <is>
          <t>MW</t>
        </is>
      </c>
    </row>
    <row r="17">
      <c r="A17" s="4" t="inlineStr">
        <is>
          <t xml:space="preserve">  CPU</t>
        </is>
      </c>
      <c r="C17" s="12">
        <f>$B$10*ITMix_CPU</f>
        <v/>
      </c>
      <c r="D17" s="7" t="inlineStr">
        <is>
          <t>MW</t>
        </is>
      </c>
    </row>
    <row r="18">
      <c r="A18" s="4" t="inlineStr">
        <is>
          <t xml:space="preserve">  ASIC (Application-Specific Integrated Circuit)</t>
        </is>
      </c>
      <c r="C18" s="12">
        <f>$B$10*ITMix_ASIC</f>
        <v/>
      </c>
      <c r="D18" s="7" t="inlineStr">
        <is>
          <t>MW</t>
        </is>
      </c>
    </row>
    <row r="19">
      <c r="A19" s="4" t="inlineStr">
        <is>
          <t xml:space="preserve">  Multi-Processor Servers (MPU)</t>
        </is>
      </c>
      <c r="C19" s="12">
        <f>$B$10*ITMix_MPU</f>
        <v/>
      </c>
      <c r="D19" s="7" t="inlineStr">
        <is>
          <t>MW</t>
        </is>
      </c>
    </row>
    <row r="20">
      <c r="A20" s="4" t="inlineStr">
        <is>
          <t xml:space="preserve">  Server Fans</t>
        </is>
      </c>
      <c r="C20" s="12">
        <f>$B$10*ITMix_Fans</f>
        <v/>
      </c>
      <c r="D20" s="7" t="inlineStr">
        <is>
          <t>MW</t>
        </is>
      </c>
    </row>
    <row r="21"/>
    <row r="22" ht="20" customHeight="1">
      <c r="A22" s="3" t="inlineStr">
        <is>
          <t>FACILITY LEVEL  (working backward: rPDU → PDU → Distribution Panels → UPS, IT path only)</t>
        </is>
      </c>
    </row>
    <row r="23">
      <c r="A23" s="4" t="inlineStr">
        <is>
          <t>Rack PDU (rPDU) Input</t>
        </is>
      </c>
      <c r="C23" s="12">
        <f>B10/(1-rPDU_Loss_Pct)</f>
        <v/>
      </c>
      <c r="D23" s="7" t="inlineStr">
        <is>
          <t>MW</t>
        </is>
      </c>
    </row>
    <row r="24">
      <c r="A24" s="4" t="inlineStr">
        <is>
          <t>rPDU Loss (1%, per reference diagram)</t>
        </is>
      </c>
      <c r="C24" s="12">
        <f>B23-B10</f>
        <v/>
      </c>
      <c r="D24" s="7" t="inlineStr">
        <is>
          <t>MW</t>
        </is>
      </c>
    </row>
    <row r="25">
      <c r="A25" s="4" t="inlineStr">
        <is>
          <t>Power Distribution Units (PDUs) Input (pass-through)</t>
        </is>
      </c>
      <c r="C25" s="12">
        <f>B23</f>
        <v/>
      </c>
      <c r="D25" s="7" t="inlineStr">
        <is>
          <t>MW</t>
        </is>
      </c>
    </row>
    <row r="26">
      <c r="A26" s="4" t="inlineStr">
        <is>
          <t>Distribution Panels &amp; Switchboards Input (pass-through)</t>
        </is>
      </c>
      <c r="C26" s="12">
        <f>B25</f>
        <v/>
      </c>
      <c r="D26" s="7" t="inlineStr">
        <is>
          <t>MW</t>
        </is>
      </c>
    </row>
    <row r="27">
      <c r="A27" s="4" t="inlineStr">
        <is>
          <t>Effective UPS Heat Loss % (baseline × Reliability-tier redundancy factor)</t>
        </is>
      </c>
      <c r="C27" s="11">
        <f>MIN(0.30,UPS_Heat_Loss_Pct_Base*UPSRedundancyFactor)</f>
        <v/>
      </c>
    </row>
    <row r="28">
      <c r="A28" s="4" t="inlineStr">
        <is>
          <t>UPS Input (N+1, two units)</t>
        </is>
      </c>
      <c r="C28" s="12">
        <f>B26/(1-B27)</f>
        <v/>
      </c>
      <c r="D28" s="7" t="inlineStr">
        <is>
          <t>MW</t>
        </is>
      </c>
    </row>
    <row r="29">
      <c r="A29" s="4" t="inlineStr">
        <is>
          <t>UPS Heat Loss</t>
        </is>
      </c>
      <c r="C29" s="12">
        <f>B28-B26</f>
        <v/>
      </c>
      <c r="D29" s="7" t="inlineStr">
        <is>
          <t>MW</t>
        </is>
      </c>
    </row>
    <row r="30"/>
    <row r="31" ht="20" customHeight="1">
      <c r="A31" s="3" t="inlineStr">
        <is>
          <t>CAMPUS INFRASTRUCTURE  (ATS → LV Switchgear → Utility Transformer → MV Switchgear)</t>
        </is>
      </c>
    </row>
    <row r="32">
      <c r="A32" s="4" t="inlineStr">
        <is>
          <t>Automatic Transfer Switch (ATS) Input = UPS Input + Lighting &amp; Aux</t>
        </is>
      </c>
      <c r="C32" s="12">
        <f>B28+B12</f>
        <v/>
      </c>
      <c r="D32" s="7" t="inlineStr">
        <is>
          <t>MW</t>
        </is>
      </c>
    </row>
    <row r="33">
      <c r="A33" s="4" t="inlineStr">
        <is>
          <t>LV Switchgear Input</t>
        </is>
      </c>
      <c r="C33" s="12">
        <f>B32/(1-LV_Switchgear_Loss_Pct)</f>
        <v/>
      </c>
      <c r="D33" s="7" t="inlineStr">
        <is>
          <t>MW</t>
        </is>
      </c>
    </row>
    <row r="34">
      <c r="A34" s="4" t="inlineStr">
        <is>
          <t>LV Switchgear Loss (0.2%, per reference diagram)</t>
        </is>
      </c>
      <c r="C34" s="12">
        <f>B33-B32</f>
        <v/>
      </c>
      <c r="D34" s="7" t="inlineStr">
        <is>
          <t>MW</t>
        </is>
      </c>
    </row>
    <row r="35">
      <c r="A35" s="4" t="inlineStr">
        <is>
          <t>Utility Transformer Input (MV→480V) = MV Switchgear Output</t>
        </is>
      </c>
      <c r="C35" s="12">
        <f>B33/(1-Utility_Transformer_Loss_Pct)</f>
        <v/>
      </c>
      <c r="D35" s="7" t="inlineStr">
        <is>
          <t>MW</t>
        </is>
      </c>
    </row>
    <row r="36">
      <c r="A36" s="4" t="inlineStr">
        <is>
          <t>Utility Transformer Loss (0.5%, per reference diagram)</t>
        </is>
      </c>
      <c r="C36" s="12">
        <f>B35-B33</f>
        <v/>
      </c>
      <c r="D36" s="7" t="inlineStr">
        <is>
          <t>MW</t>
        </is>
      </c>
    </row>
    <row r="37">
      <c r="A37" s="4" t="inlineStr">
        <is>
          <t>Main Medium Voltage BUS / MV Switchgear (pass-through)</t>
        </is>
      </c>
      <c r="C37" s="12">
        <f>B35</f>
        <v/>
      </c>
      <c r="D37" s="7" t="inlineStr">
        <is>
          <t>MW</t>
        </is>
      </c>
    </row>
    <row r="38">
      <c r="A38" s="4" t="inlineStr">
        <is>
          <t>PUE (headline — Main MV Bus Input ÷ IT Load, measured at the utility meter)</t>
        </is>
      </c>
      <c r="C38" s="41">
        <f>B37/B10</f>
        <v/>
      </c>
    </row>
    <row r="39"/>
    <row r="40" ht="20" customHeight="1">
      <c r="A40" s="3" t="inlineStr">
        <is>
          <t>UTILITY LEVEL — SOURCE SPLIT  (Grid + Solar + ESS/Battery + Generator, per Power Mix sliders, each through its own conversion path)</t>
        </is>
      </c>
    </row>
    <row r="41">
      <c r="A41" s="4" t="inlineStr">
        <is>
          <t>Utility Grid → HV Transmission → Main MV Bus</t>
        </is>
      </c>
      <c r="C41" s="12">
        <f>$B$37*PowerMix_Grid</f>
        <v/>
      </c>
      <c r="D41" s="7" t="inlineStr">
        <is>
          <t>MW</t>
        </is>
      </c>
    </row>
    <row r="42">
      <c r="A42" s="4" t="inlineStr">
        <is>
          <t>On-site Solar → PV Inverter → Main MV Bus</t>
        </is>
      </c>
      <c r="C42" s="12">
        <f>$B$37*PowerMix_Solar</f>
        <v/>
      </c>
      <c r="D42" s="7" t="inlineStr">
        <is>
          <t>MW</t>
        </is>
      </c>
    </row>
    <row r="43">
      <c r="A43" s="4" t="inlineStr">
        <is>
          <t>ESS → PCS (Power Conversion System) → Main MV Bus</t>
        </is>
      </c>
      <c r="C43" s="12">
        <f>$B$37*PowerMix_Battery</f>
        <v/>
      </c>
      <c r="D43" s="7" t="inlineStr">
        <is>
          <t>MW</t>
        </is>
      </c>
    </row>
    <row r="44">
      <c r="A44" s="4" t="inlineStr">
        <is>
          <t>Generator → Generator Breaker → Main MV Bus (active run)</t>
        </is>
      </c>
      <c r="C44" s="12">
        <f>$B$37*PowerMix_Generator</f>
        <v/>
      </c>
      <c r="D44" s="7" t="inlineStr">
        <is>
          <t>MW</t>
        </is>
      </c>
    </row>
    <row r="45">
      <c r="A45" s="4" t="inlineStr">
        <is>
          <t>Generator Reserve Capacity (standby, not dispatched)</t>
        </is>
      </c>
      <c r="C45" s="12">
        <f>B10*GenCapacityMult</f>
        <v/>
      </c>
      <c r="D45" s="7" t="inlineStr">
        <is>
          <t>MW</t>
        </is>
      </c>
    </row>
    <row r="46"/>
    <row r="47" ht="20" customHeight="1">
      <c r="A47" s="3" t="inlineStr">
        <is>
          <t>ANNUAL ENERGY &amp; CARBON  (applies resolved IT Utilization across 8,760 hr/yr)</t>
        </is>
      </c>
    </row>
    <row r="48">
      <c r="A48" s="4" t="inlineStr">
        <is>
          <t>Total Annual Electricity</t>
        </is>
      </c>
      <c r="C48" s="30">
        <f>$B$37*ITUtilization*Hours_Per_Year</f>
        <v/>
      </c>
      <c r="D48" s="7" t="inlineStr">
        <is>
          <t>MWh/yr</t>
        </is>
      </c>
    </row>
    <row r="49">
      <c r="A49" s="4" t="inlineStr">
        <is>
          <t>Annual IT Energy</t>
        </is>
      </c>
      <c r="C49" s="30">
        <f>$B$10*ITUtilization*Hours_Per_Year</f>
        <v/>
      </c>
      <c r="D49" s="7" t="inlineStr">
        <is>
          <t>MWh/yr</t>
        </is>
      </c>
    </row>
    <row r="50">
      <c r="A50" s="4" t="inlineStr">
        <is>
          <t>Annual Lighting &amp; Aux Energy</t>
        </is>
      </c>
      <c r="C50" s="30">
        <f>$B$12*ITUtilization*Hours_Per_Year</f>
        <v/>
      </c>
      <c r="D50" s="7" t="inlineStr">
        <is>
          <t>MWh/yr</t>
        </is>
      </c>
    </row>
    <row r="51">
      <c r="A51" s="4" t="inlineStr">
        <is>
          <t>Renewable Contribution</t>
        </is>
      </c>
      <c r="C51" s="11">
        <f>PowerMix_Solar+PowerMix_Battery</f>
        <v/>
      </c>
    </row>
    <row r="52">
      <c r="A52" s="4" t="inlineStr">
        <is>
          <t>Carbon Intensity</t>
        </is>
      </c>
      <c r="C52" s="41">
        <f>PowerMix_Grid*Grid_Carbon_Intensity+PowerMix_Generator*Diesel_Carbon_Intensity</f>
        <v/>
      </c>
      <c r="D52" s="7" t="inlineStr">
        <is>
          <t>kg CO2/kWh</t>
        </is>
      </c>
    </row>
  </sheetData>
  <mergeCells count="44">
    <mergeCell ref="A5:D5"/>
    <mergeCell ref="A48:B48"/>
    <mergeCell ref="A24:B24"/>
    <mergeCell ref="A15:B15"/>
    <mergeCell ref="A22:D22"/>
    <mergeCell ref="A11:B11"/>
    <mergeCell ref="A49:B49"/>
    <mergeCell ref="A51:B51"/>
    <mergeCell ref="A45:B45"/>
    <mergeCell ref="A36:B36"/>
    <mergeCell ref="A6:B6"/>
    <mergeCell ref="A40:D40"/>
    <mergeCell ref="A9:D9"/>
    <mergeCell ref="A16:B16"/>
    <mergeCell ref="A31:D31"/>
    <mergeCell ref="A7:B7"/>
    <mergeCell ref="A25:B25"/>
    <mergeCell ref="A41:B41"/>
    <mergeCell ref="A37:B37"/>
    <mergeCell ref="A18:B18"/>
    <mergeCell ref="A27:B27"/>
    <mergeCell ref="A12:B12"/>
    <mergeCell ref="A50:B50"/>
    <mergeCell ref="A1:D1"/>
    <mergeCell ref="A26:B26"/>
    <mergeCell ref="A33:B33"/>
    <mergeCell ref="A42:B42"/>
    <mergeCell ref="A32:B32"/>
    <mergeCell ref="A14:B14"/>
    <mergeCell ref="A23:B23"/>
    <mergeCell ref="A17:B17"/>
    <mergeCell ref="A35:B35"/>
    <mergeCell ref="A20:B20"/>
    <mergeCell ref="A38:B38"/>
    <mergeCell ref="A29:B29"/>
    <mergeCell ref="A52:B52"/>
    <mergeCell ref="A43:B43"/>
    <mergeCell ref="A19:B19"/>
    <mergeCell ref="A3:D3"/>
    <mergeCell ref="A10:B10"/>
    <mergeCell ref="A28:B28"/>
    <mergeCell ref="A44:B44"/>
    <mergeCell ref="A47:D47"/>
    <mergeCell ref="A34:B3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1"/>
  <sheetViews>
    <sheetView showGridLines="0" workbookViewId="0">
      <selection activeCell="A1" sqref="A1"/>
    </sheetView>
  </sheetViews>
  <sheetFormatPr baseColWidth="8" defaultRowHeight="15"/>
  <cols>
    <col width="50" customWidth="1" min="1" max="1"/>
    <col width="16" customWidth="1" min="2" max="2"/>
    <col width="14" customWidth="1" min="3" max="3"/>
    <col width="50" customWidth="1" min="4" max="4"/>
  </cols>
  <sheetData>
    <row r="1" ht="26" customHeight="1">
      <c r="A1" s="1" t="inlineStr">
        <is>
          <t>COOLING FLOW — Liquid Cooling Loop (CDU) + Air Cooling Loop (CRAH), full equipment chain</t>
        </is>
      </c>
    </row>
    <row r="2"/>
    <row r="3">
      <c r="A3" s="2" t="inlineStr">
        <is>
          <t>Matches the reference diagram's two parallel cooling paths. Liquid loop (serves 100% of chip heat, per the diagram's single 'Heat loss from server' arrow): Onsite Pump → HVAC → Closed Loop Evaporative → Chiller → Facility Water Loop → Heat Exchanger → CDU → Direct Liquid Cooling → Secondary Coolant → Cold Plates. Each of these is a closed-loop pass-through stage (same MW-th value throughout) until Heat Exchanger, where the Heat Recovery sheet splits it into rejected-via-Chiller vs. candidate-for-recovery. Air loop (serves non-IT facility spaces — networking, storage, electrical/battery rooms, offices): HVAC → CRAH → Room/White Space + Server Hall, sized off Lighting &amp; Building Aux electrical load since virtually all of it becomes heat. The CRAH sub-branch splits are illustrative (reference diagram shows the branches, not their relative sizes) — see Equipment Efficiencies sheet for each documented split.</t>
        </is>
      </c>
    </row>
    <row r="4"/>
    <row r="5" ht="20" customHeight="1">
      <c r="A5" s="3" t="inlineStr">
        <is>
          <t>COOLING PLANT ELECTRICAL LOAD  (MW, peak/design)</t>
        </is>
      </c>
    </row>
    <row r="6">
      <c r="A6" s="4" t="inlineStr">
        <is>
          <t>Cooling / HVAC Plant Electrical Load</t>
        </is>
      </c>
      <c r="C6" s="12">
        <f>Lighting_Aux_Peak_MW*MIN(0.98,Cooling_Share_of_Overhead*WorkloadCoolingMult)</f>
        <v/>
      </c>
      <c r="D6" s="7" t="inlineStr">
        <is>
          <t>MW</t>
        </is>
      </c>
    </row>
    <row r="7">
      <c r="A7" s="4" t="inlineStr">
        <is>
          <t>Pump Energy</t>
        </is>
      </c>
      <c r="C7" s="12">
        <f>B6*Pump_Share_of_Cooling_Load</f>
        <v/>
      </c>
      <c r="D7" s="7" t="inlineStr">
        <is>
          <t>MW</t>
        </is>
      </c>
    </row>
    <row r="8">
      <c r="A8" s="4" t="inlineStr">
        <is>
          <t>Fan Energy</t>
        </is>
      </c>
      <c r="C8" s="12">
        <f>B6*Fan_Share_of_Cooling_Load</f>
        <v/>
      </c>
      <c r="D8" s="7" t="inlineStr">
        <is>
          <t>MW</t>
        </is>
      </c>
    </row>
    <row r="9"/>
    <row r="10" ht="20" customHeight="1">
      <c r="A10" s="3" t="inlineStr">
        <is>
          <t>LIQUID COOLING LOOP  (MW-th, closed-loop equipment chain — carries 100% of Chip Heat)</t>
        </is>
      </c>
    </row>
    <row r="11">
      <c r="A11" s="4" t="inlineStr">
        <is>
          <t>Onsite Pump (pass-through)</t>
        </is>
      </c>
      <c r="C11" s="12">
        <f>Chip_Heat_Peak_MW</f>
        <v/>
      </c>
      <c r="D11" s="7" t="inlineStr">
        <is>
          <t>MW-th</t>
        </is>
      </c>
    </row>
    <row r="12">
      <c r="A12" s="4" t="inlineStr">
        <is>
          <t>HVAC (pass-through, liquid branch)</t>
        </is>
      </c>
      <c r="C12" s="12">
        <f>B11</f>
        <v/>
      </c>
      <c r="D12" s="7" t="inlineStr">
        <is>
          <t>MW-th</t>
        </is>
      </c>
    </row>
    <row r="13">
      <c r="A13" s="4" t="inlineStr">
        <is>
          <t>Closed Loop Evaporative (pass-through)</t>
        </is>
      </c>
      <c r="C13" s="12">
        <f>B12</f>
        <v/>
      </c>
      <c r="D13" s="7" t="inlineStr">
        <is>
          <t>MW-th</t>
        </is>
      </c>
    </row>
    <row r="14">
      <c r="A14" s="4" t="inlineStr">
        <is>
          <t>Chiller (pass-through)</t>
        </is>
      </c>
      <c r="C14" s="12">
        <f>B13</f>
        <v/>
      </c>
      <c r="D14" s="7" t="inlineStr">
        <is>
          <t>MW-th</t>
        </is>
      </c>
    </row>
    <row r="15">
      <c r="A15" s="4" t="inlineStr">
        <is>
          <t>Facility Water Loop (pass-through)</t>
        </is>
      </c>
      <c r="C15" s="12">
        <f>B14</f>
        <v/>
      </c>
      <c r="D15" s="7" t="inlineStr">
        <is>
          <t>MW-th</t>
        </is>
      </c>
    </row>
    <row r="16">
      <c r="A16" s="4" t="inlineStr">
        <is>
          <t>Heat Exchanger (pass-through — split into recovered/rejected on Heat Recovery sheet)</t>
        </is>
      </c>
      <c r="C16" s="12">
        <f>B15</f>
        <v/>
      </c>
      <c r="D16" s="7" t="inlineStr">
        <is>
          <t>MW-th</t>
        </is>
      </c>
    </row>
    <row r="17">
      <c r="A17" s="4" t="inlineStr">
        <is>
          <t>CDU (Coolant Distribution Unit, pass-through)</t>
        </is>
      </c>
      <c r="C17" s="12">
        <f>B16</f>
        <v/>
      </c>
      <c r="D17" s="7" t="inlineStr">
        <is>
          <t>MW-th</t>
        </is>
      </c>
    </row>
    <row r="18">
      <c r="A18" s="4" t="inlineStr">
        <is>
          <t>Servers/IT Equipment (Direct Liquid Cooling, pass-through)</t>
        </is>
      </c>
      <c r="C18" s="12">
        <f>B17</f>
        <v/>
      </c>
      <c r="D18" s="7" t="inlineStr">
        <is>
          <t>MW-th</t>
        </is>
      </c>
    </row>
    <row r="19">
      <c r="A19" s="4" t="inlineStr">
        <is>
          <t>Secondary Coolant (pass-through)</t>
        </is>
      </c>
      <c r="C19" s="12">
        <f>B18</f>
        <v/>
      </c>
      <c r="D19" s="7" t="inlineStr">
        <is>
          <t>MW-th</t>
        </is>
      </c>
    </row>
    <row r="20">
      <c r="A20" s="4" t="inlineStr">
        <is>
          <t>Cold Plates → Cold Supply Water (pass-through, chip-level delivery)</t>
        </is>
      </c>
      <c r="C20" s="12">
        <f>B19</f>
        <v/>
      </c>
      <c r="D20" s="7" t="inlineStr">
        <is>
          <t>MW-th</t>
        </is>
      </c>
    </row>
    <row r="21">
      <c r="A21" s="4" t="inlineStr">
        <is>
          <t>Return Water (closed loop, back to HVAC)</t>
        </is>
      </c>
      <c r="C21" s="12">
        <f>B20</f>
        <v/>
      </c>
      <c r="D21" s="7" t="inlineStr">
        <is>
          <t>MW-th</t>
        </is>
      </c>
    </row>
    <row r="22"/>
    <row r="23" ht="20" customHeight="1">
      <c r="A23" s="3" t="inlineStr">
        <is>
          <t>AIR COOLING LOOP  (MW, CRAH branch — sized off Lighting &amp; Aux electrical load)</t>
        </is>
      </c>
    </row>
    <row r="24">
      <c r="A24" s="4" t="inlineStr">
        <is>
          <t>CRAH (Computer Room Air Handlers)</t>
        </is>
      </c>
      <c r="C24" s="12">
        <f>Lighting_Aux_Peak_MW</f>
        <v/>
      </c>
      <c r="D24" s="7" t="inlineStr">
        <is>
          <t>MW</t>
        </is>
      </c>
    </row>
    <row r="25">
      <c r="A25" s="4" t="inlineStr">
        <is>
          <t>Room/White Space</t>
        </is>
      </c>
      <c r="C25" s="12">
        <f>B24*CRAH_RoomShare</f>
        <v/>
      </c>
      <c r="D25" s="7" t="inlineStr">
        <is>
          <t>MW</t>
        </is>
      </c>
    </row>
    <row r="26">
      <c r="A26" s="4" t="inlineStr">
        <is>
          <t>Server Hall</t>
        </is>
      </c>
      <c r="C26" s="12">
        <f>B24*CRAH_ServerHallShare</f>
        <v/>
      </c>
      <c r="D26" s="7" t="inlineStr">
        <is>
          <t>MW</t>
        </is>
      </c>
    </row>
    <row r="27">
      <c r="A27" s="4" t="inlineStr">
        <is>
          <t xml:space="preserve">  Electrical Rooms</t>
        </is>
      </c>
      <c r="C27" s="12">
        <f>B25*Room_ElecShare</f>
        <v/>
      </c>
      <c r="D27" s="7" t="inlineStr">
        <is>
          <t>MW</t>
        </is>
      </c>
    </row>
    <row r="28">
      <c r="A28" s="4" t="inlineStr">
        <is>
          <t xml:space="preserve">  Offices &amp; Control Rooms</t>
        </is>
      </c>
      <c r="C28" s="12">
        <f>B25*Room_OfficeShare</f>
        <v/>
      </c>
      <c r="D28" s="7" t="inlineStr">
        <is>
          <t>MW</t>
        </is>
      </c>
    </row>
    <row r="29">
      <c r="A29" s="4" t="inlineStr">
        <is>
          <t xml:space="preserve">  Battery Rooms</t>
        </is>
      </c>
      <c r="C29" s="12">
        <f>B25*Room_BatteryShare</f>
        <v/>
      </c>
      <c r="D29" s="7" t="inlineStr">
        <is>
          <t>MW</t>
        </is>
      </c>
    </row>
    <row r="30">
      <c r="A30" s="4" t="inlineStr">
        <is>
          <t xml:space="preserve">  Networking</t>
        </is>
      </c>
      <c r="C30" s="12">
        <f>B26*Hall_NetworkingShare</f>
        <v/>
      </c>
      <c r="D30" s="7" t="inlineStr">
        <is>
          <t>MW</t>
        </is>
      </c>
    </row>
    <row r="31">
      <c r="A31" s="4" t="inlineStr">
        <is>
          <t xml:space="preserve">  Storage</t>
        </is>
      </c>
      <c r="C31" s="12">
        <f>B26*Hall_StorageShare</f>
        <v/>
      </c>
      <c r="D31" s="7" t="inlineStr">
        <is>
          <t>MW</t>
        </is>
      </c>
    </row>
    <row r="32"/>
    <row r="33" ht="20" customHeight="1">
      <c r="A33" s="3" t="inlineStr">
        <is>
          <t>HEAT REJECTION CHARACTERISTICS  (from selected Primary Heat Rejection Method)</t>
        </is>
      </c>
    </row>
    <row r="34">
      <c r="A34" s="4" t="inlineStr">
        <is>
          <t>Primary Heat Rejection Method</t>
        </is>
      </c>
      <c r="C34" s="5">
        <f>Sel_HeatRejection</f>
        <v/>
      </c>
    </row>
    <row r="35">
      <c r="A35" s="4" t="inlineStr">
        <is>
          <t>Approach Temperature</t>
        </is>
      </c>
      <c r="C35" s="6">
        <f>ApproachTemp_F</f>
        <v/>
      </c>
      <c r="D35" s="7" t="inlineStr">
        <is>
          <t>°F</t>
        </is>
      </c>
    </row>
    <row r="36"/>
    <row r="37" ht="20" customHeight="1">
      <c r="A37" s="3" t="inlineStr">
        <is>
          <t>FREE-COOLING OFFSET &amp; ANNUAL COOLING ENERGY</t>
        </is>
      </c>
    </row>
    <row r="38">
      <c r="A38" s="4" t="inlineStr">
        <is>
          <t>Free Cooling Hours</t>
        </is>
      </c>
      <c r="C38" s="30">
        <f>FreeCoolingHours</f>
        <v/>
      </c>
      <c r="D38" s="7" t="inlineStr">
        <is>
          <t>hr/yr</t>
        </is>
      </c>
    </row>
    <row r="39">
      <c r="A39" s="4" t="inlineStr">
        <is>
          <t>Mechanical Load Reduction During Free-Cooling Hours</t>
        </is>
      </c>
      <c r="C39" s="11">
        <f>(B38/Hours_Per_Year)*FreeCooling_Load_Reduction_Effectiveness</f>
        <v/>
      </c>
    </row>
    <row r="40">
      <c r="A40" s="4" t="inlineStr">
        <is>
          <t>Annual Cooling Energy — design-basis</t>
        </is>
      </c>
      <c r="C40" s="30">
        <f>B6*ITUtilization*Hours_Per_Year</f>
        <v/>
      </c>
      <c r="D40" s="7" t="inlineStr">
        <is>
          <t>MWh/yr</t>
        </is>
      </c>
    </row>
    <row r="41">
      <c r="A41" s="4" t="inlineStr">
        <is>
          <t>Annual Cooling Energy — net of free-cooling offset</t>
        </is>
      </c>
      <c r="C41" s="30">
        <f>B40*(1-B39)</f>
        <v/>
      </c>
      <c r="D41" s="7" t="inlineStr">
        <is>
          <t>MWh/yr</t>
        </is>
      </c>
    </row>
  </sheetData>
  <mergeCells count="35">
    <mergeCell ref="A5:D5"/>
    <mergeCell ref="A23:D23"/>
    <mergeCell ref="A24:B24"/>
    <mergeCell ref="A30:B30"/>
    <mergeCell ref="A15:B15"/>
    <mergeCell ref="A11:B11"/>
    <mergeCell ref="A10:D10"/>
    <mergeCell ref="A6:B6"/>
    <mergeCell ref="A16:B16"/>
    <mergeCell ref="A7:B7"/>
    <mergeCell ref="A25:B25"/>
    <mergeCell ref="A41:B41"/>
    <mergeCell ref="A18:B18"/>
    <mergeCell ref="A27:B27"/>
    <mergeCell ref="A12:B12"/>
    <mergeCell ref="A1:D1"/>
    <mergeCell ref="A26:B26"/>
    <mergeCell ref="A21:B21"/>
    <mergeCell ref="A14:B14"/>
    <mergeCell ref="A17:B17"/>
    <mergeCell ref="A8:B8"/>
    <mergeCell ref="A35:B35"/>
    <mergeCell ref="A20:B20"/>
    <mergeCell ref="A37:D37"/>
    <mergeCell ref="A38:B38"/>
    <mergeCell ref="A29:B29"/>
    <mergeCell ref="A19:B19"/>
    <mergeCell ref="A3:D3"/>
    <mergeCell ref="A28:B28"/>
    <mergeCell ref="A13:B13"/>
    <mergeCell ref="A33:D33"/>
    <mergeCell ref="A40:B40"/>
    <mergeCell ref="A31:B31"/>
    <mergeCell ref="A39:B39"/>
    <mergeCell ref="A34:B3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46" customWidth="1" min="1" max="1"/>
    <col width="16" customWidth="1" min="2" max="2"/>
    <col width="14" customWidth="1" min="3" max="3"/>
    <col width="46" customWidth="1" min="4" max="4"/>
  </cols>
  <sheetData>
    <row r="1" ht="26" customHeight="1">
      <c r="A1" s="1" t="inlineStr">
        <is>
          <t>WATER FLOW — Water Source → Onsite Pump → HVAC → Closed Loop Evaporative → Chiller → Water Losses</t>
        </is>
      </c>
    </row>
    <row r="2"/>
    <row r="3">
      <c r="A3" s="2" t="inlineStr">
        <is>
          <t>This is the mass-balance (gallons) accounting for the open/evaporative portion of the cooling system. The named equipment chain — Onsite Pump, HVAC, Closed Loop Evaporative, Chiller, Facility Water Loop, Heat Exchanger, CDU, Direct Liquid Cooling, Secondary Coolant, Cold Plates — is modeled on the Cooling Flow sheet as a closed secondary loop (MW-th, no additional water consumption past the Chiller stage). WUE follows The Green Grid definition: annual water usage per unit of annual IT energy. Evaporated/blowdown split depends on the selected Primary Heat Rejection Method.</t>
        </is>
      </c>
    </row>
    <row r="4"/>
    <row r="5" ht="20" customHeight="1">
      <c r="A5" s="3" t="inlineStr">
        <is>
          <t>WATER USE EFFECTIVENESS</t>
        </is>
      </c>
    </row>
    <row r="6">
      <c r="A6" s="4" t="inlineStr">
        <is>
          <t>WUE (Water Usage Effectiveness)</t>
        </is>
      </c>
      <c r="C6" s="12">
        <f>WUE</f>
        <v/>
      </c>
      <c r="D6" s="7" t="inlineStr">
        <is>
          <t>L/kWh</t>
        </is>
      </c>
    </row>
    <row r="7"/>
    <row r="8" ht="20" customHeight="1">
      <c r="A8" s="3" t="inlineStr">
        <is>
          <t>ANNUAL WATER CONSUMPTION</t>
        </is>
      </c>
    </row>
    <row r="9">
      <c r="A9" s="4" t="inlineStr">
        <is>
          <t>Annual IT Energy (WUE basis)</t>
        </is>
      </c>
      <c r="C9" s="30">
        <f>Annual_IT_Energy_MWh</f>
        <v/>
      </c>
      <c r="D9" s="7" t="inlineStr">
        <is>
          <t>MWh/yr</t>
        </is>
      </c>
    </row>
    <row r="10">
      <c r="A10" s="4" t="inlineStr">
        <is>
          <t>Annual Water Consumption</t>
        </is>
      </c>
      <c r="C10" s="30">
        <f>B6*B9*kWh_Per_MWh</f>
        <v/>
      </c>
      <c r="D10" s="7" t="inlineStr">
        <is>
          <t>L/yr</t>
        </is>
      </c>
    </row>
    <row r="11">
      <c r="A11" s="4" t="inlineStr">
        <is>
          <t>Annual Water Consumption</t>
        </is>
      </c>
      <c r="C11" s="30">
        <f>B10/Liters_Per_Gallon</f>
        <v/>
      </c>
      <c r="D11" s="7" t="inlineStr">
        <is>
          <t>gal/yr</t>
        </is>
      </c>
    </row>
    <row r="12"/>
    <row r="13" ht="20" customHeight="1">
      <c r="A13" s="3" t="inlineStr">
        <is>
          <t>EVAPORATED vs. BLOWDOWN SPLIT  (method-dependent)</t>
        </is>
      </c>
    </row>
    <row r="14">
      <c r="A14" s="4" t="inlineStr">
        <is>
          <t>Evaporated Share</t>
        </is>
      </c>
      <c r="C14" s="11">
        <f>IF(Sel_HeatRejection="Closed-loop Evaporative Cooling",Evap_Evaporated_Share,Adiabatic_Evaporated_Share)</f>
        <v/>
      </c>
    </row>
    <row r="15">
      <c r="A15" s="4" t="inlineStr">
        <is>
          <t>Evaporated (Consumed)</t>
        </is>
      </c>
      <c r="C15" s="30">
        <f>B11*B14</f>
        <v/>
      </c>
      <c r="D15" s="7" t="inlineStr">
        <is>
          <t>gal/yr</t>
        </is>
      </c>
    </row>
    <row r="16">
      <c r="A16" s="4" t="inlineStr">
        <is>
          <t>Blowdown / Discharge</t>
        </is>
      </c>
      <c r="C16" s="30">
        <f>B11*(1-B14)</f>
        <v/>
      </c>
      <c r="D16" s="7" t="inlineStr">
        <is>
          <t>gal/yr</t>
        </is>
      </c>
    </row>
  </sheetData>
  <mergeCells count="12">
    <mergeCell ref="A1:D1"/>
    <mergeCell ref="A5:D5"/>
    <mergeCell ref="A16:B16"/>
    <mergeCell ref="A8:D8"/>
    <mergeCell ref="A15:B15"/>
    <mergeCell ref="A11:B11"/>
    <mergeCell ref="A3:D3"/>
    <mergeCell ref="A10:B10"/>
    <mergeCell ref="A14:B14"/>
    <mergeCell ref="A9:B9"/>
    <mergeCell ref="A6:B6"/>
    <mergeCell ref="A13:D1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6"/>
  <sheetViews>
    <sheetView showGridLines="0" workbookViewId="0">
      <selection activeCell="A1" sqref="A1"/>
    </sheetView>
  </sheetViews>
  <sheetFormatPr baseColWidth="8" defaultRowHeight="15"/>
  <cols>
    <col width="56" customWidth="1" min="1" max="1"/>
    <col width="16" customWidth="1" min="2" max="2"/>
    <col width="14" customWidth="1" min="3" max="3"/>
    <col width="50" customWidth="1" min="4" max="4"/>
  </cols>
  <sheetData>
    <row r="1" ht="26" customHeight="1">
      <c r="A1" s="1" t="inlineStr">
        <is>
          <t>HEAT RECOVERY — Server + Infrastructure Heat → Heat Loss → Recoverable Heat → 5 End Uses</t>
        </is>
      </c>
    </row>
    <row r="2"/>
    <row r="3">
      <c r="A3" s="2" t="inlineStr">
        <is>
          <t>Matches the reference diagram's two heat sources converging on 'Heat Loss': (1) server heat (95-99% of chip power, entering the liquid loop at Heat Exchanger, which splits into Chiller-rejected vs. recovery-candidate), and (2) infrastructure heat loss (the sum of the Utility Transformer, LV Switchgear, UPS, and rPDU losses modeled on the Electricity Flow sheet). 'Heat Loss' passes straight through to 'Recoverable Heat' (the diagram shows no further split there), which then branches to 5 end uses. That 5-way split has no numeric source in the reference diagram — illustrative shares are documented on the Equipment Efficiencies sheet.</t>
        </is>
      </c>
    </row>
    <row r="4"/>
    <row r="5" ht="20" customHeight="1">
      <c r="A5" s="3" t="inlineStr">
        <is>
          <t>SERVER HEAT  (MW-thermal, at 100% of design IT load)</t>
        </is>
      </c>
    </row>
    <row r="6">
      <c r="A6" s="4" t="inlineStr">
        <is>
          <t>Chip Heat (IT Load × Server Heat Loss Fraction)</t>
        </is>
      </c>
      <c r="C6" s="12">
        <f>IT_Load_Peak_MW*Server_Heat_Loss_Pct</f>
        <v/>
      </c>
      <c r="D6" s="7" t="inlineStr">
        <is>
          <t>MW-th</t>
        </is>
      </c>
    </row>
    <row r="7">
      <c r="A7" s="4" t="inlineStr">
        <is>
          <t>To Heat Exchanger (100% of chip heat, via liquid loop)</t>
        </is>
      </c>
      <c r="C7" s="12">
        <f>B6</f>
        <v/>
      </c>
      <c r="D7" s="7" t="inlineStr">
        <is>
          <t>MW-th</t>
        </is>
      </c>
    </row>
    <row r="8">
      <c r="A8" s="4" t="inlineStr">
        <is>
          <t>Heat Exchanger → Chiller (Heat Rejection, not recovered)</t>
        </is>
      </c>
      <c r="C8" s="12">
        <f>B7*(1-Recoverable_Heat_Fraction)</f>
        <v/>
      </c>
      <c r="D8" s="7" t="inlineStr">
        <is>
          <t>MW-th</t>
        </is>
      </c>
    </row>
    <row r="9">
      <c r="A9" s="4" t="inlineStr">
        <is>
          <t>Heat Exchanger → Heat Loss (recovery candidate)</t>
        </is>
      </c>
      <c r="C9" s="12">
        <f>B7*Recoverable_Heat_Fraction</f>
        <v/>
      </c>
      <c r="D9" s="7" t="inlineStr">
        <is>
          <t>MW-th</t>
        </is>
      </c>
    </row>
    <row r="10"/>
    <row r="11" ht="20" customHeight="1">
      <c r="A11" s="3" t="inlineStr">
        <is>
          <t>INFRASTRUCTURE HEAT LOSS  (MW, sum of the 4 electrical-conversion losses on Electricity Flow)</t>
        </is>
      </c>
    </row>
    <row r="12">
      <c r="A12" s="4" t="inlineStr">
        <is>
          <t>Infrastructure Heat Loss (Transformer + LV Switchgear + UPS + rPDU)</t>
        </is>
      </c>
      <c r="C12" s="12">
        <f>'Electricity Flow'!B36+'Electricity Flow'!B34+'Electricity Flow'!B29+'Electricity Flow'!B24</f>
        <v/>
      </c>
      <c r="D12" s="7" t="inlineStr">
        <is>
          <t>MW</t>
        </is>
      </c>
    </row>
    <row r="13"/>
    <row r="14" ht="20" customHeight="1">
      <c r="A14" s="3" t="inlineStr">
        <is>
          <t>HEAT LOSS → RECOVERABLE HEAT → 5 END USES  (MW-thermal)</t>
        </is>
      </c>
    </row>
    <row r="15">
      <c r="A15" s="4" t="inlineStr">
        <is>
          <t>Heat Loss (Heat Exchanger candidate + Infrastructure)</t>
        </is>
      </c>
      <c r="C15" s="12">
        <f>B9+B12</f>
        <v/>
      </c>
      <c r="D15" s="7" t="inlineStr">
        <is>
          <t>MW-th</t>
        </is>
      </c>
    </row>
    <row r="16">
      <c r="A16" s="4" t="inlineStr">
        <is>
          <t>Recoverable Heat (pass-through from Heat Loss)</t>
        </is>
      </c>
      <c r="C16" s="12">
        <f>B15</f>
        <v/>
      </c>
      <c r="D16" s="7" t="inlineStr">
        <is>
          <t>MW-th</t>
        </is>
      </c>
    </row>
    <row r="17">
      <c r="A17" s="4" t="inlineStr">
        <is>
          <t xml:space="preserve">  Thermal Energy Network (TEN)</t>
        </is>
      </c>
      <c r="C17" s="12">
        <f>B16*HeatEnd_TEN</f>
        <v/>
      </c>
      <c r="D17" s="7" t="inlineStr">
        <is>
          <t>MW-th</t>
        </is>
      </c>
    </row>
    <row r="18">
      <c r="A18" s="4" t="inlineStr">
        <is>
          <t xml:space="preserve">  Campus Hot Water</t>
        </is>
      </c>
      <c r="C18" s="12">
        <f>B16*HeatEnd_CampusHotWater</f>
        <v/>
      </c>
      <c r="D18" s="7" t="inlineStr">
        <is>
          <t>MW-th</t>
        </is>
      </c>
    </row>
    <row r="19">
      <c r="A19" s="4" t="inlineStr">
        <is>
          <t xml:space="preserve">  Absorption Chiller</t>
        </is>
      </c>
      <c r="C19" s="12">
        <f>B16*HeatEnd_AbsorptionChiller</f>
        <v/>
      </c>
      <c r="D19" s="7" t="inlineStr">
        <is>
          <t>MW-th</t>
        </is>
      </c>
    </row>
    <row r="20">
      <c r="A20" s="4" t="inlineStr">
        <is>
          <t xml:space="preserve">  Thermal Energy Storage</t>
        </is>
      </c>
      <c r="C20" s="12">
        <f>B16*HeatEnd_ThermalStorage</f>
        <v/>
      </c>
      <c r="D20" s="7" t="inlineStr">
        <is>
          <t>MW-th</t>
        </is>
      </c>
    </row>
    <row r="21">
      <c r="A21" s="4" t="inlineStr">
        <is>
          <t xml:space="preserve">  Industrial Process</t>
        </is>
      </c>
      <c r="C21" s="12">
        <f>B16*HeatEnd_IndustrialProcess</f>
        <v/>
      </c>
      <c r="D21" s="7" t="inlineStr">
        <is>
          <t>MW-th</t>
        </is>
      </c>
    </row>
    <row r="22"/>
    <row r="23" ht="20" customHeight="1">
      <c r="A23" s="3" t="inlineStr">
        <is>
          <t>HEADLINE READOUT &amp; ANNUAL HEAT ENERGY</t>
        </is>
      </c>
    </row>
    <row r="24">
      <c r="A24" s="4" t="inlineStr">
        <is>
          <t>Recoverable Heat %  (of total server + infrastructure heat)</t>
        </is>
      </c>
      <c r="C24" s="11">
        <f>B16/(B6+B12)</f>
        <v/>
      </c>
    </row>
    <row r="25">
      <c r="A25" s="4" t="inlineStr">
        <is>
          <t>Annual Waste Heat (server, IT-energy basis)</t>
        </is>
      </c>
      <c r="C25" s="30">
        <f>Annual_IT_Energy_MWh</f>
        <v/>
      </c>
      <c r="D25" s="7" t="inlineStr">
        <is>
          <t>MWh-th/yr</t>
        </is>
      </c>
    </row>
    <row r="26">
      <c r="A26" s="4" t="inlineStr">
        <is>
          <t>Annual Recoverable Heat</t>
        </is>
      </c>
      <c r="C26" s="30">
        <f>B25*B24</f>
        <v/>
      </c>
      <c r="D26" s="7" t="inlineStr">
        <is>
          <t>MWh-th/yr</t>
        </is>
      </c>
    </row>
  </sheetData>
  <mergeCells count="21">
    <mergeCell ref="A5:D5"/>
    <mergeCell ref="A23:D23"/>
    <mergeCell ref="A24:B24"/>
    <mergeCell ref="A15:B15"/>
    <mergeCell ref="A6:B6"/>
    <mergeCell ref="A16:B16"/>
    <mergeCell ref="A7:B7"/>
    <mergeCell ref="A25:B25"/>
    <mergeCell ref="A11:D11"/>
    <mergeCell ref="A18:B18"/>
    <mergeCell ref="A12:B12"/>
    <mergeCell ref="A1:D1"/>
    <mergeCell ref="A26:B26"/>
    <mergeCell ref="A21:B21"/>
    <mergeCell ref="A17:B17"/>
    <mergeCell ref="A8:B8"/>
    <mergeCell ref="A20:B20"/>
    <mergeCell ref="A19:B19"/>
    <mergeCell ref="A3:D3"/>
    <mergeCell ref="A9:B9"/>
    <mergeCell ref="A14:D1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3"/>
  <sheetViews>
    <sheetView showGridLines="0" workbookViewId="0">
      <selection activeCell="A1" sqref="A1"/>
    </sheetView>
  </sheetViews>
  <sheetFormatPr baseColWidth="8" defaultRowHeight="15"/>
  <cols>
    <col width="26" customWidth="1" min="1" max="1"/>
    <col width="46" customWidth="1" min="2" max="2"/>
    <col width="40" customWidth="1" min="3" max="3"/>
    <col width="12" customWidth="1" min="4" max="4"/>
    <col width="26" customWidth="1" min="5" max="5"/>
    <col width="34" customWidth="1" min="6" max="6"/>
    <col width="16" customWidth="1" min="7" max="7"/>
  </cols>
  <sheetData>
    <row r="1" ht="26" customHeight="1">
      <c r="A1" s="1" t="inlineStr">
        <is>
          <t>EQUATIONS — Documentation of Every Calculated Output</t>
        </is>
      </c>
    </row>
    <row r="2"/>
    <row r="3">
      <c r="A3" s="2" t="inlineStr">
        <is>
          <t>Engineering basis for each calculated field. 'Assumptions Used' cross-references rows on the Assumptions sheet; 'Cell Reference' points to the live formula.</t>
        </is>
      </c>
    </row>
    <row r="4"/>
    <row r="5" ht="30" customHeight="1">
      <c r="A5" s="15" t="inlineStr">
        <is>
          <t>Output</t>
        </is>
      </c>
      <c r="B5" s="15" t="inlineStr">
        <is>
          <t>Engineering Equation</t>
        </is>
      </c>
      <c r="C5" s="15" t="inlineStr">
        <is>
          <t>Variable Definitions</t>
        </is>
      </c>
      <c r="D5" s="15" t="inlineStr">
        <is>
          <t>Units</t>
        </is>
      </c>
      <c r="E5" s="15" t="inlineStr">
        <is>
          <t>Source / Basis</t>
        </is>
      </c>
      <c r="F5" s="15" t="inlineStr">
        <is>
          <t>Assumptions Used</t>
        </is>
      </c>
      <c r="G5" s="15" t="inlineStr">
        <is>
          <t>Cell Reference</t>
        </is>
      </c>
    </row>
    <row r="6" ht="42" customHeight="1">
      <c r="A6" s="42" t="inlineStr">
        <is>
          <t>PUE</t>
        </is>
      </c>
      <c r="B6" s="42" t="inlineStr">
        <is>
          <t>Two-stage model. (1) Modeled Cooling PUE = 1 + (PUEfloor − 1) × Cclimate × Creject + Lstandby, sizes the Lighting &amp; Aux load. (2) Headline PUE = Main_MV_Bus_Input_MW ÷ IT_Load_MW — total facility power at the utility meter ÷ IT power, matching The Green Grid's standard PUE definition since it captures all four granular conversion losses (Transformer, LV Switchgear, UPS, rPDU) that stage (1) excludes.</t>
        </is>
      </c>
      <c r="C6" s="42" t="inlineStr">
        <is>
          <t>PUEfloor = workload PUE floor; Cclimate = climate cooling multiplier; Creject = heat-rejection PUE factor; Lstandby = reliability standby loss; Main_MV_Bus_Input_MW = total electrical draw entering the Main MV Bus from Grid+Solar+ESS+Generator combined</t>
        </is>
      </c>
      <c r="D6" s="42" t="inlineStr">
        <is>
          <t>ratio</t>
        </is>
      </c>
      <c r="E6" s="42" t="inlineStr">
        <is>
          <t>The Green Grid PUE: A Comprehensive Examination of the Metric (2012)</t>
        </is>
      </c>
      <c r="F6" s="42" t="inlineStr">
        <is>
          <t>Workload, Climate Zone, Heat Rejection, Reliability tables (Inputs sheet)</t>
        </is>
      </c>
      <c r="G6" s="42" t="inlineStr">
        <is>
          <t>'Electricity Flow'!B6 (modeled cooling PUE); 'Electricity Flow'!B38 (headline PUE)</t>
        </is>
      </c>
    </row>
    <row r="7" ht="42" customHeight="1">
      <c r="A7" s="43" t="inlineStr">
        <is>
          <t>WUE</t>
        </is>
      </c>
      <c r="B7" s="43" t="inlineStr">
        <is>
          <t>WUE = WUEbase × Mclimate</t>
        </is>
      </c>
      <c r="C7" s="43" t="inlineStr">
        <is>
          <t>WUEbase = heat-rejection method's base water use; Mclimate = climate WUE multiplier</t>
        </is>
      </c>
      <c r="D7" s="43" t="inlineStr">
        <is>
          <t>L/kWh</t>
        </is>
      </c>
      <c r="E7" s="43" t="inlineStr">
        <is>
          <t>The Green Grid WUE white paper (2011)</t>
        </is>
      </c>
      <c r="F7" s="43" t="inlineStr">
        <is>
          <t>Heat Rejection &amp; Climate Zone tables (Inputs sheet)</t>
        </is>
      </c>
      <c r="G7" s="43" t="inlineStr">
        <is>
          <t>'Electricity Flow'!B7</t>
        </is>
      </c>
    </row>
    <row r="8" ht="42" customHeight="1">
      <c r="A8" s="42" t="inlineStr">
        <is>
          <t>Total Annual Electricity</t>
        </is>
      </c>
      <c r="B8" s="42" t="inlineStr">
        <is>
          <t>Annual_MWh = Main_MV_Bus_Input_MW × ITUtilization × 8760</t>
        </is>
      </c>
      <c r="C8" s="42" t="inlineStr">
        <is>
          <t>Main_MV_Bus_Input_MW = total facility draw at the utility interconnection; ITUtilization = resolved workload utilization</t>
        </is>
      </c>
      <c r="D8" s="42" t="inlineStr">
        <is>
          <t>MWh/yr</t>
        </is>
      </c>
      <c r="E8" s="42" t="inlineStr">
        <is>
          <t>Standard annualization of a design-basis peak load</t>
        </is>
      </c>
      <c r="F8" s="42" t="inlineStr">
        <is>
          <t>Workload IT Utilization (Inputs sheet)</t>
        </is>
      </c>
      <c r="G8" s="42" t="inlineStr">
        <is>
          <t>'Electricity Flow'!B48</t>
        </is>
      </c>
    </row>
    <row r="9" ht="42" customHeight="1">
      <c r="A9" s="43" t="inlineStr">
        <is>
          <t>IT Energy</t>
        </is>
      </c>
      <c r="B9" s="43" t="inlineStr">
        <is>
          <t>IT_MWh = IT_Load_MW × ITUtilization × 8760</t>
        </is>
      </c>
      <c r="C9" s="43" t="inlineStr">
        <is>
          <t>IT_Load_MW = 100 MW fixed facility capacity</t>
        </is>
      </c>
      <c r="D9" s="43" t="inlineStr">
        <is>
          <t>MWh/yr</t>
        </is>
      </c>
      <c r="E9" s="43" t="inlineStr">
        <is>
          <t>Direct annualization</t>
        </is>
      </c>
      <c r="F9" s="43" t="inlineStr">
        <is>
          <t>n/a</t>
        </is>
      </c>
      <c r="G9" s="43" t="inlineStr">
        <is>
          <t>'Electricity Flow'!B49</t>
        </is>
      </c>
    </row>
    <row r="10" ht="42" customHeight="1">
      <c r="A10" s="42" t="inlineStr">
        <is>
          <t>Cooling Energy</t>
        </is>
      </c>
      <c r="B10" s="42" t="inlineStr">
        <is>
          <t>Cooling_MW = Lighting_Aux_MW × Cooling_Share_of_Overhead × WorkloadCoolingMult, capped at 98%</t>
        </is>
      </c>
      <c r="C10" s="42" t="inlineStr">
        <is>
          <t>Lighting_Aux_MW = Total Facility − IT Load (the diagram's single ATS branch covering all non-IT load)</t>
        </is>
      </c>
      <c r="D10" s="42" t="inlineStr">
        <is>
          <t>MW / MWh-yr</t>
        </is>
      </c>
      <c r="E10" s="42" t="inlineStr">
        <is>
          <t>LBNL data center benchmarking (overhead split)</t>
        </is>
      </c>
      <c r="F10" s="42" t="inlineStr">
        <is>
          <t>Cooling Share of Non-IT Overhead; Workload Cooling Load Multiplier</t>
        </is>
      </c>
      <c r="G10" s="42" t="inlineStr">
        <is>
          <t>'Cooling Flow'!B6</t>
        </is>
      </c>
    </row>
    <row r="11" ht="42" customHeight="1">
      <c r="A11" s="43" t="inlineStr">
        <is>
          <t>UPS Heat Loss</t>
        </is>
      </c>
      <c r="B11" s="43" t="inlineStr">
        <is>
          <t>UPS_Loss_MW = UPS_Input_MW − Distribution_Panels_Input_MW, where UPS_Input = Distribution_Panels_Input ÷ (1 − MIN(30%, 2% × UPS_Redundancy_Factor))</t>
        </is>
      </c>
      <c r="C11" s="43" t="inlineStr">
        <is>
          <t>2% = baseline UPS heat loss labeled on the reference diagram; UPS_Redundancy_Factor = overhead multiplier from selected Reliability tier</t>
        </is>
      </c>
      <c r="D11" s="43" t="inlineStr">
        <is>
          <t>MW</t>
        </is>
      </c>
      <c r="E11" s="43" t="inlineStr">
        <is>
          <t>User-provided reference diagram (baseline); Reliability-tier scaling per Uptime Institute Tier Standard</t>
        </is>
      </c>
      <c r="F11" s="43" t="inlineStr">
        <is>
          <t>UPS Heat Loss (baseline); Reliability Tier table</t>
        </is>
      </c>
      <c r="G11" s="43" t="inlineStr">
        <is>
          <t>'Electricity Flow'!B29</t>
        </is>
      </c>
    </row>
    <row r="12" ht="42" customHeight="1">
      <c r="A12" s="42" t="inlineStr">
        <is>
          <t>Utility Transformer Loss</t>
        </is>
      </c>
      <c r="B12" s="42" t="inlineStr">
        <is>
          <t>Xfmr_Loss_MW = Xfmr_Input_MW − LV_Switchgear_Input_MW, where Xfmr_Input = LV_Switchgear_Input ÷ (1 − 0.5%)</t>
        </is>
      </c>
      <c r="C12" s="42" t="inlineStr">
        <is>
          <t>0.5% = loss labeled on the reference diagram for the MV→480V utility transformer</t>
        </is>
      </c>
      <c r="D12" s="42" t="inlineStr">
        <is>
          <t>MW</t>
        </is>
      </c>
      <c r="E12" s="42" t="inlineStr">
        <is>
          <t>User-provided reference diagram</t>
        </is>
      </c>
      <c r="F12" s="42" t="inlineStr">
        <is>
          <t>Utility Transformer Loss (MV-&gt;480V)</t>
        </is>
      </c>
      <c r="G12" s="42" t="inlineStr">
        <is>
          <t>'Electricity Flow'!B36</t>
        </is>
      </c>
    </row>
    <row r="13" ht="42" customHeight="1">
      <c r="A13" s="43" t="inlineStr">
        <is>
          <t>LV Switchgear Loss</t>
        </is>
      </c>
      <c r="B13" s="43" t="inlineStr">
        <is>
          <t>LVSW_Loss_MW = LVSW_Input_MW − ATS_Input_MW, where LVSW_Input = ATS_Input ÷ (1 − 0.2%)</t>
        </is>
      </c>
      <c r="C13" s="43" t="inlineStr">
        <is>
          <t>0.2% = loss labeled on the reference diagram for the LV switchgear stage</t>
        </is>
      </c>
      <c r="D13" s="43" t="inlineStr">
        <is>
          <t>MW</t>
        </is>
      </c>
      <c r="E13" s="43" t="inlineStr">
        <is>
          <t>User-provided reference diagram</t>
        </is>
      </c>
      <c r="F13" s="43" t="inlineStr">
        <is>
          <t>LV Switchgear Loss</t>
        </is>
      </c>
      <c r="G13" s="43" t="inlineStr">
        <is>
          <t>'Electricity Flow'!B34</t>
        </is>
      </c>
    </row>
    <row r="14" ht="42" customHeight="1">
      <c r="A14" s="42" t="inlineStr">
        <is>
          <t>rPDU Loss</t>
        </is>
      </c>
      <c r="B14" s="42" t="inlineStr">
        <is>
          <t>rPDU_Loss_MW = rPDU_Input_MW − IT_Load_MW, where rPDU_Input = IT_Load ÷ (1 − 1%)</t>
        </is>
      </c>
      <c r="C14" s="42" t="inlineStr">
        <is>
          <t>1% = the more conservative of the two loss values ('1%' and '2% Heat') labeled near the rPDU stage on the reference diagram</t>
        </is>
      </c>
      <c r="D14" s="42" t="inlineStr">
        <is>
          <t>MW</t>
        </is>
      </c>
      <c r="E14" s="42" t="inlineStr">
        <is>
          <t>User-provided reference diagram</t>
        </is>
      </c>
      <c r="F14" s="42" t="inlineStr">
        <is>
          <t>Rack PDU (rPDU) Loss</t>
        </is>
      </c>
      <c r="G14" s="42" t="inlineStr">
        <is>
          <t>'Electricity Flow'!B24</t>
        </is>
      </c>
    </row>
    <row r="15" ht="42" customHeight="1">
      <c r="A15" s="43" t="inlineStr">
        <is>
          <t>Renewable Contribution</t>
        </is>
      </c>
      <c r="B15" s="43" t="inlineStr">
        <is>
          <t>Renewable% = PowerMix_Solar% + PowerMix_Battery%</t>
        </is>
      </c>
      <c r="C15" s="43" t="inlineStr">
        <is>
          <t>Battery attributed as renewable-adjacent under the modeling assumption it is predominantly solar-charged</t>
        </is>
      </c>
      <c r="D15" s="43" t="inlineStr">
        <is>
          <t>%</t>
        </is>
      </c>
      <c r="E15" s="43" t="inlineStr">
        <is>
          <t>DOE 24/7 Carbon-Free Energy framework</t>
        </is>
      </c>
      <c r="F15" s="43" t="inlineStr">
        <is>
          <t>Solar/Battery Carbon Intensity assumption</t>
        </is>
      </c>
      <c r="G15" s="43" t="inlineStr">
        <is>
          <t>'Electricity Flow'!B51</t>
        </is>
      </c>
    </row>
    <row r="16" ht="42" customHeight="1">
      <c r="A16" s="42" t="inlineStr">
        <is>
          <t>Carbon Intensity</t>
        </is>
      </c>
      <c r="B16" s="42" t="inlineStr">
        <is>
          <t>CI = PowerMix_Grid% × CI_grid + PowerMix_Generator% × CI_diesel</t>
        </is>
      </c>
      <c r="C16" s="42" t="inlineStr">
        <is>
          <t>CI_grid = CAISO average grid carbon intensity; CI_diesel = standby generator emission factor</t>
        </is>
      </c>
      <c r="D16" s="42" t="inlineStr">
        <is>
          <t>kg CO2/kWh</t>
        </is>
      </c>
      <c r="E16" s="42" t="inlineStr">
        <is>
          <t>CAISO Fuel Mix; EPA eGRID; EPA GHG Emission Factors</t>
        </is>
      </c>
      <c r="F16" s="42" t="inlineStr">
        <is>
          <t>CAISO Grid Carbon Intensity; Diesel Generator Carbon Intensity</t>
        </is>
      </c>
      <c r="G16" s="42" t="inlineStr">
        <is>
          <t>'Electricity Flow'!B52</t>
        </is>
      </c>
    </row>
    <row r="17" ht="42" customHeight="1">
      <c r="A17" s="43" t="inlineStr">
        <is>
          <t>Chip Heat</t>
        </is>
      </c>
      <c r="B17" s="43" t="inlineStr">
        <is>
          <t>Chip_Heat_MW = IT_Load_MW × Server_Heat_Loss_Pct</t>
        </is>
      </c>
      <c r="C17" s="43" t="inlineStr">
        <is>
          <t>Server_Heat_Loss_Pct = 97%, midpoint of the reference diagram's labeled 95-99% range</t>
        </is>
      </c>
      <c r="D17" s="43" t="inlineStr">
        <is>
          <t>MW-th</t>
        </is>
      </c>
      <c r="E17" s="43" t="inlineStr">
        <is>
          <t>User-provided reference diagram (95-99% range); 1st law of thermodynamics</t>
        </is>
      </c>
      <c r="F17" s="43" t="inlineStr">
        <is>
          <t>Server Heat Loss Fraction</t>
        </is>
      </c>
      <c r="G17" s="43" t="inlineStr">
        <is>
          <t>'Heat Recovery'!B6</t>
        </is>
      </c>
    </row>
    <row r="18" ht="42" customHeight="1">
      <c r="A18" s="42" t="inlineStr">
        <is>
          <t>Infrastructure Heat Loss</t>
        </is>
      </c>
      <c r="B18" s="42" t="inlineStr">
        <is>
          <t>Infra_Heat_MW = Xfmr_Loss + LVSW_Loss + UPS_Loss + rPDU_Loss</t>
        </is>
      </c>
      <c r="C18" s="42" t="inlineStr">
        <is>
          <t>Sum of the four granular electrical-conversion losses modeled on the Electricity Flow sheet</t>
        </is>
      </c>
      <c r="D18" s="42" t="inlineStr">
        <is>
          <t>MW</t>
        </is>
      </c>
      <c r="E18" s="42" t="inlineStr">
        <is>
          <t>Derived from the four granular loss figures above</t>
        </is>
      </c>
      <c r="F18" s="42" t="inlineStr">
        <is>
          <t>n/a</t>
        </is>
      </c>
      <c r="G18" s="42" t="inlineStr">
        <is>
          <t>'Heat Recovery'!B12</t>
        </is>
      </c>
    </row>
    <row r="19" ht="42" customHeight="1">
      <c r="A19" s="43" t="inlineStr">
        <is>
          <t>Recoverable Heat</t>
        </is>
      </c>
      <c r="B19" s="43" t="inlineStr">
        <is>
          <t>Recovered_MW = (Chip_Heat_MW × Recoverable_Fraction) + Infra_Heat_MW  [passes straight through 'Heat Loss' to 'Recoverable Heat', per the reference diagram]</t>
        </is>
      </c>
      <c r="C19" s="43" t="inlineStr">
        <is>
          <t>Recoverable_Fraction = share of Heat-Exchanger-side chip heat at usable temperature (the rest is rejected via the Chiller)</t>
        </is>
      </c>
      <c r="D19" s="43" t="inlineStr">
        <is>
          <t>MW-th</t>
        </is>
      </c>
      <c r="E19" s="43" t="inlineStr">
        <is>
          <t>RenewIT Project — Green Data Centres (2016)</t>
        </is>
      </c>
      <c r="F19" s="43" t="inlineStr">
        <is>
          <t>Recoverable Fraction of Coolant Heat</t>
        </is>
      </c>
      <c r="G19" s="43" t="inlineStr">
        <is>
          <t>'Heat Recovery'!B16</t>
        </is>
      </c>
    </row>
    <row r="20" ht="42" customHeight="1">
      <c r="A20" s="42" t="inlineStr">
        <is>
          <t>Recoverable Heat — 5 End Uses</t>
        </is>
      </c>
      <c r="B20" s="42" t="inlineStr">
        <is>
          <t>Each end-use = Recoverable_MW × its illustrative share (TEN 30% / Campus Hot Water 25% / Absorption Chiller 20% / Thermal Storage 15% / Industrial Process 10%)</t>
        </is>
      </c>
      <c r="C20" s="42" t="inlineStr">
        <is>
          <t>Reference diagram shows these 5 destinations but not their relative sizes — shares are illustrative, documented on Equipment Efficiencies</t>
        </is>
      </c>
      <c r="D20" s="42" t="inlineStr">
        <is>
          <t>MW-th</t>
        </is>
      </c>
      <c r="E20" s="42" t="inlineStr">
        <is>
          <t>Illustrative (no numeric source in reference diagram)</t>
        </is>
      </c>
      <c r="F20" s="42" t="inlineStr">
        <is>
          <t>Recoverable Heat End-Use shares</t>
        </is>
      </c>
      <c r="G20" s="42" t="inlineStr">
        <is>
          <t>'Heat Recovery'!B17:B21</t>
        </is>
      </c>
    </row>
    <row r="21" ht="42" customHeight="1">
      <c r="A21" s="43" t="inlineStr">
        <is>
          <t>Water Consumption (Annual)</t>
        </is>
      </c>
      <c r="B21" s="43" t="inlineStr">
        <is>
          <t>Water_gal = (WUE × Annual_IT_MWh × 1000) ÷ 3.78541</t>
        </is>
      </c>
      <c r="C21" s="43" t="inlineStr">
        <is>
          <t>WUE in L/kWh; Annual_IT_MWh = annual IT energy; 3.78541 = liters per US gallon</t>
        </is>
      </c>
      <c r="D21" s="43" t="inlineStr">
        <is>
          <t>gal/yr</t>
        </is>
      </c>
      <c r="E21" s="43" t="inlineStr">
        <is>
          <t>The Green Grid WUE white paper (2011)</t>
        </is>
      </c>
      <c r="F21" s="43" t="inlineStr">
        <is>
          <t>Liters per Gallon (Constants sheet)</t>
        </is>
      </c>
      <c r="G21" s="43" t="inlineStr">
        <is>
          <t>'Water Flow'!B11</t>
        </is>
      </c>
    </row>
    <row r="22" ht="42" customHeight="1">
      <c r="A22" s="42" t="inlineStr">
        <is>
          <t>Evaporated / Blowdown Split</t>
        </is>
      </c>
      <c r="B22" s="42" t="inlineStr">
        <is>
          <t>Evaporated_gal = Water_gal × EvapShare;  Blowdown_gal = Water_gal × (1 − EvapShare)</t>
        </is>
      </c>
      <c r="C22" s="42" t="inlineStr">
        <is>
          <t>EvapShare = method-dependent evaporated-water share (evaporative tower vs. adiabatic dry cooler)</t>
        </is>
      </c>
      <c r="D22" s="42" t="inlineStr">
        <is>
          <t>gal/yr</t>
        </is>
      </c>
      <c r="E22" s="42" t="inlineStr">
        <is>
          <t>The Green Grid WUE white paper (2011); ASHRAE TC9.9</t>
        </is>
      </c>
      <c r="F22" s="42" t="inlineStr">
        <is>
          <t>Evaporative/Adiabatic Evaporated Share</t>
        </is>
      </c>
      <c r="G22" s="42" t="inlineStr">
        <is>
          <t>'Water Flow'!B15, B16</t>
        </is>
      </c>
    </row>
    <row r="23" ht="42" customHeight="1">
      <c r="A23" s="43" t="inlineStr">
        <is>
          <t>Generator Reserve Capacity</t>
        </is>
      </c>
      <c r="B23" s="43" t="inlineStr">
        <is>
          <t>Gen_Reserve_MW = IT_Load_MW × GenCapacityMult</t>
        </is>
      </c>
      <c r="C23" s="43" t="inlineStr">
        <is>
          <t>GenCapacityMult = reliability-tier generator sizing multiplier; reserve capacity, not part of active dispatched load</t>
        </is>
      </c>
      <c r="D23" s="43" t="inlineStr">
        <is>
          <t>MW</t>
        </is>
      </c>
      <c r="E23" s="43" t="inlineStr">
        <is>
          <t>Uptime Institute Tier Standard: Topology</t>
        </is>
      </c>
      <c r="F23" s="43" t="inlineStr">
        <is>
          <t>Reliability Tier table (Generator Capacity Multiplier)</t>
        </is>
      </c>
      <c r="G23" s="43" t="inlineStr">
        <is>
          <t>'Electricity Flow'!B45</t>
        </is>
      </c>
    </row>
  </sheetData>
  <mergeCells count="2">
    <mergeCell ref="A3:G3"/>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8"/>
  <sheetViews>
    <sheetView showGridLines="0" workbookViewId="0">
      <selection activeCell="A1" sqref="A1"/>
    </sheetView>
  </sheetViews>
  <sheetFormatPr baseColWidth="8" defaultRowHeight="15"/>
  <cols>
    <col width="30" customWidth="1" min="1" max="1"/>
    <col width="50" customWidth="1" min="2" max="2"/>
    <col width="10" customWidth="1" min="3" max="3"/>
    <col width="55" customWidth="1" min="4" max="4"/>
  </cols>
  <sheetData>
    <row r="1" ht="26" customHeight="1">
      <c r="A1" s="1" t="inlineStr">
        <is>
          <t>REFERENCES</t>
        </is>
      </c>
    </row>
    <row r="2"/>
    <row r="3">
      <c r="A3" s="2" t="inlineStr">
        <is>
          <t>Prioritized peer-reviewed and industry sources used to build the Assumptions and Equations sheets.</t>
        </is>
      </c>
    </row>
    <row r="4"/>
    <row r="5" ht="30" customHeight="1">
      <c r="A5" s="15" t="inlineStr">
        <is>
          <t>Organization</t>
        </is>
      </c>
      <c r="B5" s="15" t="inlineStr">
        <is>
          <t>Title / Publication</t>
        </is>
      </c>
      <c r="C5" s="15" t="inlineStr">
        <is>
          <t>Year</t>
        </is>
      </c>
      <c r="D5" s="15" t="inlineStr">
        <is>
          <t>URL / Citation</t>
        </is>
      </c>
    </row>
    <row r="6" ht="30" customHeight="1">
      <c r="A6" s="16" t="inlineStr">
        <is>
          <t>ASHRAE TC9.9</t>
        </is>
      </c>
      <c r="B6" s="44" t="inlineStr">
        <is>
          <t>Thermal Guidelines for Data Processing Environments (5th Ed.) / Liquid Cooling Guidelines</t>
        </is>
      </c>
      <c r="C6" s="17" t="n">
        <v>2021</v>
      </c>
      <c r="D6" s="16" t="inlineStr">
        <is>
          <t>www.ashrae.org (TC 9.9)</t>
        </is>
      </c>
    </row>
    <row r="7" ht="30" customHeight="1">
      <c r="A7" s="20" t="inlineStr">
        <is>
          <t>Lawrence Berkeley National Laboratory (LBNL)</t>
        </is>
      </c>
      <c r="B7" s="45" t="inlineStr">
        <is>
          <t>United States Data Center Energy Usage Report</t>
        </is>
      </c>
      <c r="C7" s="21" t="n">
        <v>2016</v>
      </c>
      <c r="D7" s="20" t="inlineStr">
        <is>
          <t>eta.lbl.gov</t>
        </is>
      </c>
    </row>
    <row r="8" ht="30" customHeight="1">
      <c r="A8" s="16" t="inlineStr">
        <is>
          <t>Uptime Institute</t>
        </is>
      </c>
      <c r="B8" s="44" t="inlineStr">
        <is>
          <t>Tier Standard: Topology; Annual Global Data Center Survey</t>
        </is>
      </c>
      <c r="C8" s="17" t="n">
        <v>2023</v>
      </c>
      <c r="D8" s="16" t="inlineStr">
        <is>
          <t>uptimeinstitute.com</t>
        </is>
      </c>
    </row>
    <row r="9" ht="30" customHeight="1">
      <c r="A9" s="20" t="inlineStr">
        <is>
          <t>The Green Grid</t>
        </is>
      </c>
      <c r="B9" s="45" t="inlineStr">
        <is>
          <t>PUE: A Comprehensive Examination of the Metric; Water Usage Effectiveness (WUE) white paper</t>
        </is>
      </c>
      <c r="C9" s="21" t="n">
        <v>2011</v>
      </c>
      <c r="D9" s="20" t="inlineStr">
        <is>
          <t>www.thegreengrid.org</t>
        </is>
      </c>
    </row>
    <row r="10" ht="30" customHeight="1">
      <c r="A10" s="16" t="inlineStr">
        <is>
          <t>U.S. Department of Energy (DOE)</t>
        </is>
      </c>
      <c r="B10" s="44" t="inlineStr">
        <is>
          <t>Better Buildings — Data Center Efficiency / Center of Expertise for Data Centers</t>
        </is>
      </c>
      <c r="C10" s="17" t="inlineStr">
        <is>
          <t>ongoing</t>
        </is>
      </c>
      <c r="D10" s="16" t="inlineStr">
        <is>
          <t>betterbuildingssolutioncenter.energy.gov</t>
        </is>
      </c>
    </row>
    <row r="11" ht="30" customHeight="1">
      <c r="A11" s="20" t="inlineStr">
        <is>
          <t>National Renewable Energy Laboratory (NREL)</t>
        </is>
      </c>
      <c r="B11" s="45" t="inlineStr">
        <is>
          <t>PVWatts Calculator; Data Center Energy-Water Nexus reports</t>
        </is>
      </c>
      <c r="C11" s="21" t="inlineStr">
        <is>
          <t>various</t>
        </is>
      </c>
      <c r="D11" s="20" t="inlineStr">
        <is>
          <t>www.nrel.gov</t>
        </is>
      </c>
    </row>
    <row r="12" ht="30" customHeight="1">
      <c r="A12" s="16" t="inlineStr">
        <is>
          <t>ENERGY STAR</t>
        </is>
      </c>
      <c r="B12" s="44" t="inlineStr">
        <is>
          <t>Data Center Energy Efficiency / PUE benchmarking</t>
        </is>
      </c>
      <c r="C12" s="17" t="inlineStr">
        <is>
          <t>ongoing</t>
        </is>
      </c>
      <c r="D12" s="16" t="inlineStr">
        <is>
          <t>www.energystar.gov</t>
        </is>
      </c>
    </row>
    <row r="13" ht="30" customHeight="1">
      <c r="A13" s="20" t="inlineStr">
        <is>
          <t>California Independent System Operator (CAISO)</t>
        </is>
      </c>
      <c r="B13" s="45" t="inlineStr">
        <is>
          <t>Fuel Mix / Emissions data, real-time and historical</t>
        </is>
      </c>
      <c r="C13" s="21" t="inlineStr">
        <is>
          <t>ongoing</t>
        </is>
      </c>
      <c r="D13" s="20" t="inlineStr">
        <is>
          <t>www.caiso.com</t>
        </is>
      </c>
    </row>
    <row r="14" ht="30" customHeight="1">
      <c r="A14" s="16" t="inlineStr">
        <is>
          <t>U.S. Environmental Protection Agency (EPA)</t>
        </is>
      </c>
      <c r="B14" s="44" t="inlineStr">
        <is>
          <t>eGRID (Emissions &amp; Generation Resource Integrated Database); GHG Emission Factors Hub</t>
        </is>
      </c>
      <c r="C14" s="17" t="n">
        <v>2023</v>
      </c>
      <c r="D14" s="16" t="inlineStr">
        <is>
          <t>www.epa.gov/egrid</t>
        </is>
      </c>
    </row>
    <row r="15" ht="30" customHeight="1">
      <c r="A15" s="20" t="inlineStr">
        <is>
          <t>RenewIT Project</t>
        </is>
      </c>
      <c r="B15" s="45" t="inlineStr">
        <is>
          <t>Green Data Centres — Renewable Energy in Data Centres</t>
        </is>
      </c>
      <c r="C15" s="21" t="n">
        <v>2016</v>
      </c>
      <c r="D15" s="20" t="inlineStr">
        <is>
          <t>cordis.europa.eu (RenewIT Project)</t>
        </is>
      </c>
    </row>
    <row r="16" ht="30" customHeight="1">
      <c r="A16" s="16" t="inlineStr">
        <is>
          <t>California Energy Commission (CEC)</t>
        </is>
      </c>
      <c r="B16" s="44" t="inlineStr">
        <is>
          <t>California Building Climate Zones 1-16</t>
        </is>
      </c>
      <c r="C16" s="17" t="inlineStr">
        <is>
          <t>ongoing</t>
        </is>
      </c>
      <c r="D16" s="16" t="inlineStr">
        <is>
          <t>www.energy.ca.gov</t>
        </is>
      </c>
    </row>
    <row r="17" ht="30" customHeight="1">
      <c r="A17" s="20" t="inlineStr">
        <is>
          <t>Sankey Diagrams (community reference)</t>
        </is>
      </c>
      <c r="B17" s="45" t="inlineStr">
        <is>
          <t>Data centre-tagged Sankey diagram gallery</t>
        </is>
      </c>
      <c r="C17" s="21" t="inlineStr">
        <is>
          <t>ongoing</t>
        </is>
      </c>
      <c r="D17" s="20" t="inlineStr">
        <is>
          <t>www.sankey-diagrams.com/tag/data-centre/</t>
        </is>
      </c>
    </row>
    <row r="18" ht="30" customHeight="1">
      <c r="A18" s="16" t="inlineStr">
        <is>
          <t>MEP Academy</t>
        </is>
      </c>
      <c r="B18" s="44" t="inlineStr">
        <is>
          <t>Data Center Power Flow: Utility to Server Rack Explained</t>
        </is>
      </c>
      <c r="C18" s="17" t="inlineStr">
        <is>
          <t>ongoing</t>
        </is>
      </c>
      <c r="D18" s="16" t="inlineStr">
        <is>
          <t>mepacademy.com/data-center-power-flow-utility-to-server-rack-explained/</t>
        </is>
      </c>
    </row>
  </sheetData>
  <mergeCells count="2">
    <mergeCell ref="A1:D1"/>
    <mergeCell ref="A3:D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1"/>
  <sheetViews>
    <sheetView showGridLines="0" workbookViewId="0">
      <pane ySplit="5" topLeftCell="A6" activePane="bottomLeft" state="frozen"/>
      <selection pane="bottomLeft" activeCell="A1" sqref="A1"/>
    </sheetView>
  </sheetViews>
  <sheetFormatPr baseColWidth="8" defaultRowHeight="15"/>
  <cols>
    <col width="18" customWidth="1" min="1" max="1"/>
    <col width="38" customWidth="1" min="2" max="2"/>
    <col width="38" customWidth="1" min="3" max="3"/>
    <col width="14" customWidth="1" min="4" max="4"/>
    <col width="10" customWidth="1" min="5" max="5"/>
    <col width="12" customWidth="1" min="6" max="6"/>
  </cols>
  <sheetData>
    <row r="1" ht="26" customHeight="1">
      <c r="A1" s="1" t="inlineStr">
        <is>
          <t>SANKEY DATA TABLES — Full Granular Node/Link Set, Matching the Reference Power-Flow Diagram</t>
        </is>
      </c>
    </row>
    <row r="2"/>
    <row r="3">
      <c r="A3" s="2" t="inlineStr">
        <is>
          <t>Every Value cell is a live formula. Electrical: 30 links, full chain from Utility Grid/Solar/ESS/Generator through to CPU/GPU/TPU/ASIC/MPU/Fans. Cooling &amp; Water: 21 links across three unit tracks sharing the HVAC and Facility Water Loop nodes — gal/yr for the open evaporative mass-balance, MW-th for the closed CDU/Direct-Liquid-Cooling secondary loop, and MW for the CRAH air-cooling branch. A renderer must NOT sum child-link values against a mismatched-unit parent inflow at those two nodes — treat each unit track as its own visual scale. Heat: 13 links, server heat + the four granular infrastructure losses converging on Heat Loss, through to Recoverable Heat's 5 end uses. Re-export (CSV/JSON) after changing any Inputs-sheet scenario selector. Color hexes match PROJECT_SCOPE.md Section 8 (v2.4 white-background, three-hue-family palette).</t>
        </is>
      </c>
    </row>
    <row r="4"/>
    <row r="5" ht="30" customHeight="1">
      <c r="A5" s="15" t="inlineStr">
        <is>
          <t>Sankey</t>
        </is>
      </c>
      <c r="B5" s="15" t="inlineStr">
        <is>
          <t>Source Node</t>
        </is>
      </c>
      <c r="C5" s="15" t="inlineStr">
        <is>
          <t>Target Node</t>
        </is>
      </c>
      <c r="D5" s="15" t="inlineStr">
        <is>
          <t>Value</t>
        </is>
      </c>
      <c r="E5" s="15" t="inlineStr">
        <is>
          <t>Unit</t>
        </is>
      </c>
      <c r="F5" s="15" t="inlineStr">
        <is>
          <t>Color (hex)</t>
        </is>
      </c>
    </row>
    <row r="6">
      <c r="A6" s="16" t="inlineStr">
        <is>
          <t>Electrical</t>
        </is>
      </c>
      <c r="B6" s="16" t="inlineStr">
        <is>
          <t>Utility Grid</t>
        </is>
      </c>
      <c r="C6" s="16" t="inlineStr">
        <is>
          <t>HV Transmission</t>
        </is>
      </c>
      <c r="D6" s="46">
        <f>'Electricity Flow'!B41</f>
        <v/>
      </c>
      <c r="E6" s="16" t="inlineStr">
        <is>
          <t>MW</t>
        </is>
      </c>
      <c r="F6" s="47" t="inlineStr">
        <is>
          <t>DB634C</t>
        </is>
      </c>
    </row>
    <row r="7">
      <c r="A7" s="20" t="inlineStr">
        <is>
          <t>Electrical</t>
        </is>
      </c>
      <c r="B7" s="20" t="inlineStr">
        <is>
          <t>HV Transmission</t>
        </is>
      </c>
      <c r="C7" s="20" t="inlineStr">
        <is>
          <t>Main Medium Voltage BUS</t>
        </is>
      </c>
      <c r="D7" s="48">
        <f>'Electricity Flow'!B41</f>
        <v/>
      </c>
      <c r="E7" s="20" t="inlineStr">
        <is>
          <t>MW</t>
        </is>
      </c>
      <c r="F7" s="47" t="inlineStr">
        <is>
          <t>DB634C</t>
        </is>
      </c>
    </row>
    <row r="8">
      <c r="A8" s="16" t="inlineStr">
        <is>
          <t>Electrical</t>
        </is>
      </c>
      <c r="B8" s="16" t="inlineStr">
        <is>
          <t>On-site Solar</t>
        </is>
      </c>
      <c r="C8" s="16" t="inlineStr">
        <is>
          <t>PV Inverter</t>
        </is>
      </c>
      <c r="D8" s="46">
        <f>'Electricity Flow'!B42</f>
        <v/>
      </c>
      <c r="E8" s="16" t="inlineStr">
        <is>
          <t>MW</t>
        </is>
      </c>
      <c r="F8" s="47" t="inlineStr">
        <is>
          <t>DB634C</t>
        </is>
      </c>
    </row>
    <row r="9">
      <c r="A9" s="20" t="inlineStr">
        <is>
          <t>Electrical</t>
        </is>
      </c>
      <c r="B9" s="20" t="inlineStr">
        <is>
          <t>PV Inverter</t>
        </is>
      </c>
      <c r="C9" s="20" t="inlineStr">
        <is>
          <t>Main Medium Voltage BUS</t>
        </is>
      </c>
      <c r="D9" s="48">
        <f>'Electricity Flow'!B42</f>
        <v/>
      </c>
      <c r="E9" s="20" t="inlineStr">
        <is>
          <t>MW</t>
        </is>
      </c>
      <c r="F9" s="47" t="inlineStr">
        <is>
          <t>DB634C</t>
        </is>
      </c>
    </row>
    <row r="10">
      <c r="A10" s="16" t="inlineStr">
        <is>
          <t>Electrical</t>
        </is>
      </c>
      <c r="B10" s="16" t="inlineStr">
        <is>
          <t>ESS</t>
        </is>
      </c>
      <c r="C10" s="16" t="inlineStr">
        <is>
          <t>PCS (Power Conversion System)</t>
        </is>
      </c>
      <c r="D10" s="46">
        <f>'Electricity Flow'!B43</f>
        <v/>
      </c>
      <c r="E10" s="16" t="inlineStr">
        <is>
          <t>MW</t>
        </is>
      </c>
      <c r="F10" s="47" t="inlineStr">
        <is>
          <t>DB634C</t>
        </is>
      </c>
    </row>
    <row r="11">
      <c r="A11" s="20" t="inlineStr">
        <is>
          <t>Electrical</t>
        </is>
      </c>
      <c r="B11" s="20" t="inlineStr">
        <is>
          <t>PCS (Power Conversion System)</t>
        </is>
      </c>
      <c r="C11" s="20" t="inlineStr">
        <is>
          <t>Main Medium Voltage BUS</t>
        </is>
      </c>
      <c r="D11" s="48">
        <f>'Electricity Flow'!B43</f>
        <v/>
      </c>
      <c r="E11" s="20" t="inlineStr">
        <is>
          <t>MW</t>
        </is>
      </c>
      <c r="F11" s="47" t="inlineStr">
        <is>
          <t>DB634C</t>
        </is>
      </c>
    </row>
    <row r="12">
      <c r="A12" s="16" t="inlineStr">
        <is>
          <t>Electrical</t>
        </is>
      </c>
      <c r="B12" s="16" t="inlineStr">
        <is>
          <t>Generator</t>
        </is>
      </c>
      <c r="C12" s="16" t="inlineStr">
        <is>
          <t>Generator Breaker</t>
        </is>
      </c>
      <c r="D12" s="46">
        <f>'Electricity Flow'!B44</f>
        <v/>
      </c>
      <c r="E12" s="16" t="inlineStr">
        <is>
          <t>MW</t>
        </is>
      </c>
      <c r="F12" s="47" t="inlineStr">
        <is>
          <t>DB634C</t>
        </is>
      </c>
    </row>
    <row r="13">
      <c r="A13" s="20" t="inlineStr">
        <is>
          <t>Electrical</t>
        </is>
      </c>
      <c r="B13" s="20" t="inlineStr">
        <is>
          <t>Generator Breaker</t>
        </is>
      </c>
      <c r="C13" s="20" t="inlineStr">
        <is>
          <t>Main Medium Voltage BUS</t>
        </is>
      </c>
      <c r="D13" s="48">
        <f>'Electricity Flow'!B44</f>
        <v/>
      </c>
      <c r="E13" s="20" t="inlineStr">
        <is>
          <t>MW</t>
        </is>
      </c>
      <c r="F13" s="47" t="inlineStr">
        <is>
          <t>DB634C</t>
        </is>
      </c>
    </row>
    <row r="14">
      <c r="A14" s="16" t="inlineStr">
        <is>
          <t>Electrical</t>
        </is>
      </c>
      <c r="B14" s="16" t="inlineStr">
        <is>
          <t>Main Medium Voltage BUS</t>
        </is>
      </c>
      <c r="C14" s="16" t="inlineStr">
        <is>
          <t>MV Switchgear</t>
        </is>
      </c>
      <c r="D14" s="46">
        <f>'Electricity Flow'!B37</f>
        <v/>
      </c>
      <c r="E14" s="16" t="inlineStr">
        <is>
          <t>MW</t>
        </is>
      </c>
      <c r="F14" s="47" t="inlineStr">
        <is>
          <t>DB634C</t>
        </is>
      </c>
    </row>
    <row r="15">
      <c r="A15" s="20" t="inlineStr">
        <is>
          <t>Electrical</t>
        </is>
      </c>
      <c r="B15" s="20" t="inlineStr">
        <is>
          <t>MV Switchgear</t>
        </is>
      </c>
      <c r="C15" s="20" t="inlineStr">
        <is>
          <t>Utility Transformer (MV-&gt;480V)</t>
        </is>
      </c>
      <c r="D15" s="48">
        <f>'Electricity Flow'!B35</f>
        <v/>
      </c>
      <c r="E15" s="20" t="inlineStr">
        <is>
          <t>MW</t>
        </is>
      </c>
      <c r="F15" s="47" t="inlineStr">
        <is>
          <t>DB634C</t>
        </is>
      </c>
    </row>
    <row r="16">
      <c r="A16" s="16" t="inlineStr">
        <is>
          <t>Electrical</t>
        </is>
      </c>
      <c r="B16" s="16" t="inlineStr">
        <is>
          <t>Utility Transformer (MV-&gt;480V)</t>
        </is>
      </c>
      <c r="C16" s="16" t="inlineStr">
        <is>
          <t>LV Switchgear</t>
        </is>
      </c>
      <c r="D16" s="46">
        <f>'Electricity Flow'!B33</f>
        <v/>
      </c>
      <c r="E16" s="16" t="inlineStr">
        <is>
          <t>MW</t>
        </is>
      </c>
      <c r="F16" s="47" t="inlineStr">
        <is>
          <t>DB634C</t>
        </is>
      </c>
    </row>
    <row r="17">
      <c r="A17" s="20" t="inlineStr">
        <is>
          <t>Electrical</t>
        </is>
      </c>
      <c r="B17" s="20" t="inlineStr">
        <is>
          <t>Utility Transformer (MV-&gt;480V)</t>
        </is>
      </c>
      <c r="C17" s="20" t="inlineStr">
        <is>
          <t>Transformer Loss (0.5%)</t>
        </is>
      </c>
      <c r="D17" s="48">
        <f>'Electricity Flow'!B36</f>
        <v/>
      </c>
      <c r="E17" s="20" t="inlineStr">
        <is>
          <t>MW</t>
        </is>
      </c>
      <c r="F17" s="49" t="inlineStr">
        <is>
          <t>E3A467</t>
        </is>
      </c>
    </row>
    <row r="18">
      <c r="A18" s="16" t="inlineStr">
        <is>
          <t>Electrical</t>
        </is>
      </c>
      <c r="B18" s="16" t="inlineStr">
        <is>
          <t>LV Switchgear</t>
        </is>
      </c>
      <c r="C18" s="16" t="inlineStr">
        <is>
          <t>Automatic Transfer Switch (ATS)</t>
        </is>
      </c>
      <c r="D18" s="46">
        <f>'Electricity Flow'!B32</f>
        <v/>
      </c>
      <c r="E18" s="16" t="inlineStr">
        <is>
          <t>MW</t>
        </is>
      </c>
      <c r="F18" s="47" t="inlineStr">
        <is>
          <t>DB634C</t>
        </is>
      </c>
    </row>
    <row r="19">
      <c r="A19" s="20" t="inlineStr">
        <is>
          <t>Electrical</t>
        </is>
      </c>
      <c r="B19" s="20" t="inlineStr">
        <is>
          <t>LV Switchgear</t>
        </is>
      </c>
      <c r="C19" s="20" t="inlineStr">
        <is>
          <t>LV Switchgear Loss (0.2%)</t>
        </is>
      </c>
      <c r="D19" s="48">
        <f>'Electricity Flow'!B34</f>
        <v/>
      </c>
      <c r="E19" s="20" t="inlineStr">
        <is>
          <t>MW</t>
        </is>
      </c>
      <c r="F19" s="49" t="inlineStr">
        <is>
          <t>E3A467</t>
        </is>
      </c>
    </row>
    <row r="20">
      <c r="A20" s="16" t="inlineStr">
        <is>
          <t>Electrical</t>
        </is>
      </c>
      <c r="B20" s="16" t="inlineStr">
        <is>
          <t>Automatic Transfer Switch (ATS)</t>
        </is>
      </c>
      <c r="C20" s="16" t="inlineStr">
        <is>
          <t>IT Infrastructure/Servers</t>
        </is>
      </c>
      <c r="D20" s="46">
        <f>'Electricity Flow'!B28</f>
        <v/>
      </c>
      <c r="E20" s="16" t="inlineStr">
        <is>
          <t>MW</t>
        </is>
      </c>
      <c r="F20" s="47" t="inlineStr">
        <is>
          <t>DB634C</t>
        </is>
      </c>
    </row>
    <row r="21">
      <c r="A21" s="20" t="inlineStr">
        <is>
          <t>Electrical</t>
        </is>
      </c>
      <c r="B21" s="20" t="inlineStr">
        <is>
          <t>Automatic Transfer Switch (ATS)</t>
        </is>
      </c>
      <c r="C21" s="20" t="inlineStr">
        <is>
          <t>Lighting &amp; Building Auxiliary Loads</t>
        </is>
      </c>
      <c r="D21" s="48">
        <f>'Electricity Flow'!B12</f>
        <v/>
      </c>
      <c r="E21" s="20" t="inlineStr">
        <is>
          <t>MW</t>
        </is>
      </c>
      <c r="F21" s="50" t="inlineStr">
        <is>
          <t>D98C2B</t>
        </is>
      </c>
    </row>
    <row r="22">
      <c r="A22" s="16" t="inlineStr">
        <is>
          <t>Electrical</t>
        </is>
      </c>
      <c r="B22" s="16" t="inlineStr">
        <is>
          <t>IT Infrastructure/Servers</t>
        </is>
      </c>
      <c r="C22" s="16" t="inlineStr">
        <is>
          <t>Uninterruptible Power Supply (UPS, N+1)</t>
        </is>
      </c>
      <c r="D22" s="46">
        <f>'Electricity Flow'!B28</f>
        <v/>
      </c>
      <c r="E22" s="16" t="inlineStr">
        <is>
          <t>MW</t>
        </is>
      </c>
      <c r="F22" s="47" t="inlineStr">
        <is>
          <t>DB634C</t>
        </is>
      </c>
    </row>
    <row r="23">
      <c r="A23" s="20" t="inlineStr">
        <is>
          <t>Electrical</t>
        </is>
      </c>
      <c r="B23" s="20" t="inlineStr">
        <is>
          <t>Uninterruptible Power Supply (UPS, N+1)</t>
        </is>
      </c>
      <c r="C23" s="20" t="inlineStr">
        <is>
          <t>UPS Heat Loss (2%)</t>
        </is>
      </c>
      <c r="D23" s="48">
        <f>'Electricity Flow'!B29</f>
        <v/>
      </c>
      <c r="E23" s="20" t="inlineStr">
        <is>
          <t>MW</t>
        </is>
      </c>
      <c r="F23" s="49" t="inlineStr">
        <is>
          <t>E3A467</t>
        </is>
      </c>
    </row>
    <row r="24">
      <c r="A24" s="16" t="inlineStr">
        <is>
          <t>Electrical</t>
        </is>
      </c>
      <c r="B24" s="16" t="inlineStr">
        <is>
          <t>Uninterruptible Power Supply (UPS, N+1)</t>
        </is>
      </c>
      <c r="C24" s="16" t="inlineStr">
        <is>
          <t>Distribution Panels &amp; Switchboards</t>
        </is>
      </c>
      <c r="D24" s="46">
        <f>'Electricity Flow'!B26</f>
        <v/>
      </c>
      <c r="E24" s="16" t="inlineStr">
        <is>
          <t>MW</t>
        </is>
      </c>
      <c r="F24" s="47" t="inlineStr">
        <is>
          <t>DB634C</t>
        </is>
      </c>
    </row>
    <row r="25">
      <c r="A25" s="20" t="inlineStr">
        <is>
          <t>Electrical</t>
        </is>
      </c>
      <c r="B25" s="20" t="inlineStr">
        <is>
          <t>Distribution Panels &amp; Switchboards</t>
        </is>
      </c>
      <c r="C25" s="20" t="inlineStr">
        <is>
          <t>Power Distribution Units (PDUs)</t>
        </is>
      </c>
      <c r="D25" s="48">
        <f>'Electricity Flow'!B25</f>
        <v/>
      </c>
      <c r="E25" s="20" t="inlineStr">
        <is>
          <t>MW</t>
        </is>
      </c>
      <c r="F25" s="47" t="inlineStr">
        <is>
          <t>DB634C</t>
        </is>
      </c>
    </row>
    <row r="26">
      <c r="A26" s="16" t="inlineStr">
        <is>
          <t>Electrical</t>
        </is>
      </c>
      <c r="B26" s="16" t="inlineStr">
        <is>
          <t>Power Distribution Units (PDUs)</t>
        </is>
      </c>
      <c r="C26" s="16" t="inlineStr">
        <is>
          <t>Rack Power Distribution Units (rPDUs)</t>
        </is>
      </c>
      <c r="D26" s="46">
        <f>'Electricity Flow'!B23</f>
        <v/>
      </c>
      <c r="E26" s="16" t="inlineStr">
        <is>
          <t>MW</t>
        </is>
      </c>
      <c r="F26" s="47" t="inlineStr">
        <is>
          <t>DB634C</t>
        </is>
      </c>
    </row>
    <row r="27">
      <c r="A27" s="20" t="inlineStr">
        <is>
          <t>Electrical</t>
        </is>
      </c>
      <c r="B27" s="20" t="inlineStr">
        <is>
          <t>Rack Power Distribution Units (rPDUs)</t>
        </is>
      </c>
      <c r="C27" s="20" t="inlineStr">
        <is>
          <t>rPDU Loss (1%)</t>
        </is>
      </c>
      <c r="D27" s="48">
        <f>'Electricity Flow'!B24</f>
        <v/>
      </c>
      <c r="E27" s="20" t="inlineStr">
        <is>
          <t>MW</t>
        </is>
      </c>
      <c r="F27" s="49" t="inlineStr">
        <is>
          <t>E3A467</t>
        </is>
      </c>
    </row>
    <row r="28">
      <c r="A28" s="16" t="inlineStr">
        <is>
          <t>Electrical</t>
        </is>
      </c>
      <c r="B28" s="16" t="inlineStr">
        <is>
          <t>Rack Power Distribution Units (rPDUs)</t>
        </is>
      </c>
      <c r="C28" s="16" t="inlineStr">
        <is>
          <t>Server PSU</t>
        </is>
      </c>
      <c r="D28" s="46">
        <f>'Electricity Flow'!B10</f>
        <v/>
      </c>
      <c r="E28" s="16" t="inlineStr">
        <is>
          <t>MW</t>
        </is>
      </c>
      <c r="F28" s="47" t="inlineStr">
        <is>
          <t>DB634C</t>
        </is>
      </c>
    </row>
    <row r="29">
      <c r="A29" s="20" t="inlineStr">
        <is>
          <t>Electrical</t>
        </is>
      </c>
      <c r="B29" s="20" t="inlineStr">
        <is>
          <t>Server PSU</t>
        </is>
      </c>
      <c r="C29" s="20" t="inlineStr">
        <is>
          <t>Motherboard</t>
        </is>
      </c>
      <c r="D29" s="48">
        <f>'Electricity Flow'!B10</f>
        <v/>
      </c>
      <c r="E29" s="20" t="inlineStr">
        <is>
          <t>MW</t>
        </is>
      </c>
      <c r="F29" s="47" t="inlineStr">
        <is>
          <t>DB634C</t>
        </is>
      </c>
    </row>
    <row r="30">
      <c r="A30" s="16" t="inlineStr">
        <is>
          <t>Electrical</t>
        </is>
      </c>
      <c r="B30" s="16" t="inlineStr">
        <is>
          <t>Motherboard</t>
        </is>
      </c>
      <c r="C30" s="16" t="inlineStr">
        <is>
          <t>GPU (Graphics Processing Unit)</t>
        </is>
      </c>
      <c r="D30" s="46">
        <f>'Electricity Flow'!B15</f>
        <v/>
      </c>
      <c r="E30" s="16" t="inlineStr">
        <is>
          <t>MW</t>
        </is>
      </c>
      <c r="F30" s="47" t="inlineStr">
        <is>
          <t>DB634C</t>
        </is>
      </c>
    </row>
    <row r="31">
      <c r="A31" s="20" t="inlineStr">
        <is>
          <t>Electrical</t>
        </is>
      </c>
      <c r="B31" s="20" t="inlineStr">
        <is>
          <t>Motherboard</t>
        </is>
      </c>
      <c r="C31" s="20" t="inlineStr">
        <is>
          <t>TPU (Tensor Processing Unit)</t>
        </is>
      </c>
      <c r="D31" s="48">
        <f>'Electricity Flow'!B16</f>
        <v/>
      </c>
      <c r="E31" s="20" t="inlineStr">
        <is>
          <t>MW</t>
        </is>
      </c>
      <c r="F31" s="47" t="inlineStr">
        <is>
          <t>DB634C</t>
        </is>
      </c>
    </row>
    <row r="32">
      <c r="A32" s="16" t="inlineStr">
        <is>
          <t>Electrical</t>
        </is>
      </c>
      <c r="B32" s="16" t="inlineStr">
        <is>
          <t>Motherboard</t>
        </is>
      </c>
      <c r="C32" s="16" t="inlineStr">
        <is>
          <t>CPU</t>
        </is>
      </c>
      <c r="D32" s="46">
        <f>'Electricity Flow'!B17</f>
        <v/>
      </c>
      <c r="E32" s="16" t="inlineStr">
        <is>
          <t>MW</t>
        </is>
      </c>
      <c r="F32" s="47" t="inlineStr">
        <is>
          <t>DB634C</t>
        </is>
      </c>
    </row>
    <row r="33">
      <c r="A33" s="20" t="inlineStr">
        <is>
          <t>Electrical</t>
        </is>
      </c>
      <c r="B33" s="20" t="inlineStr">
        <is>
          <t>Motherboard</t>
        </is>
      </c>
      <c r="C33" s="20" t="inlineStr">
        <is>
          <t>ASIC (Application-Specific Integrated Circuit)</t>
        </is>
      </c>
      <c r="D33" s="48">
        <f>'Electricity Flow'!B18</f>
        <v/>
      </c>
      <c r="E33" s="20" t="inlineStr">
        <is>
          <t>MW</t>
        </is>
      </c>
      <c r="F33" s="47" t="inlineStr">
        <is>
          <t>DB634C</t>
        </is>
      </c>
    </row>
    <row r="34">
      <c r="A34" s="16" t="inlineStr">
        <is>
          <t>Electrical</t>
        </is>
      </c>
      <c r="B34" s="16" t="inlineStr">
        <is>
          <t>Motherboard</t>
        </is>
      </c>
      <c r="C34" s="16" t="inlineStr">
        <is>
          <t>Multi-Processor Servers (MPU)</t>
        </is>
      </c>
      <c r="D34" s="46">
        <f>'Electricity Flow'!B19</f>
        <v/>
      </c>
      <c r="E34" s="16" t="inlineStr">
        <is>
          <t>MW</t>
        </is>
      </c>
      <c r="F34" s="47" t="inlineStr">
        <is>
          <t>DB634C</t>
        </is>
      </c>
    </row>
    <row r="35">
      <c r="A35" s="20" t="inlineStr">
        <is>
          <t>Electrical</t>
        </is>
      </c>
      <c r="B35" s="20" t="inlineStr">
        <is>
          <t>Motherboard</t>
        </is>
      </c>
      <c r="C35" s="20" t="inlineStr">
        <is>
          <t>Server Fans</t>
        </is>
      </c>
      <c r="D35" s="48">
        <f>'Electricity Flow'!B20</f>
        <v/>
      </c>
      <c r="E35" s="20" t="inlineStr">
        <is>
          <t>MW</t>
        </is>
      </c>
      <c r="F35" s="47" t="inlineStr">
        <is>
          <t>DB634C</t>
        </is>
      </c>
    </row>
    <row r="36">
      <c r="A36" s="16" t="inlineStr">
        <is>
          <t>Cooling &amp; Water</t>
        </is>
      </c>
      <c r="B36" s="16" t="inlineStr">
        <is>
          <t>Water Source</t>
        </is>
      </c>
      <c r="C36" s="16" t="inlineStr">
        <is>
          <t>Onsite Pump</t>
        </is>
      </c>
      <c r="D36" s="46">
        <f>'Water Flow'!B11</f>
        <v/>
      </c>
      <c r="E36" s="16" t="inlineStr">
        <is>
          <t>gal/yr</t>
        </is>
      </c>
      <c r="F36" s="51" t="inlineStr">
        <is>
          <t>2E86C1</t>
        </is>
      </c>
    </row>
    <row r="37">
      <c r="A37" s="20" t="inlineStr">
        <is>
          <t>Cooling &amp; Water</t>
        </is>
      </c>
      <c r="B37" s="20" t="inlineStr">
        <is>
          <t>Onsite Pump</t>
        </is>
      </c>
      <c r="C37" s="20" t="inlineStr">
        <is>
          <t>HVAC</t>
        </is>
      </c>
      <c r="D37" s="48">
        <f>'Water Flow'!B11</f>
        <v/>
      </c>
      <c r="E37" s="20" t="inlineStr">
        <is>
          <t>gal/yr</t>
        </is>
      </c>
      <c r="F37" s="51" t="inlineStr">
        <is>
          <t>2E86C1</t>
        </is>
      </c>
    </row>
    <row r="38">
      <c r="A38" s="16" t="inlineStr">
        <is>
          <t>Cooling &amp; Water</t>
        </is>
      </c>
      <c r="B38" s="16" t="inlineStr">
        <is>
          <t>HVAC</t>
        </is>
      </c>
      <c r="C38" s="16" t="inlineStr">
        <is>
          <t>Closed Loop Evaporative</t>
        </is>
      </c>
      <c r="D38" s="46">
        <f>'Water Flow'!B11</f>
        <v/>
      </c>
      <c r="E38" s="16" t="inlineStr">
        <is>
          <t>gal/yr</t>
        </is>
      </c>
      <c r="F38" s="51" t="inlineStr">
        <is>
          <t>2E86C1</t>
        </is>
      </c>
    </row>
    <row r="39">
      <c r="A39" s="20" t="inlineStr">
        <is>
          <t>Cooling &amp; Water</t>
        </is>
      </c>
      <c r="B39" s="20" t="inlineStr">
        <is>
          <t>Closed Loop Evaporative</t>
        </is>
      </c>
      <c r="C39" s="20" t="inlineStr">
        <is>
          <t>Chiller</t>
        </is>
      </c>
      <c r="D39" s="48">
        <f>'Water Flow'!B11</f>
        <v/>
      </c>
      <c r="E39" s="20" t="inlineStr">
        <is>
          <t>gal/yr</t>
        </is>
      </c>
      <c r="F39" s="51" t="inlineStr">
        <is>
          <t>2E86C1</t>
        </is>
      </c>
    </row>
    <row r="40">
      <c r="A40" s="16" t="inlineStr">
        <is>
          <t>Cooling &amp; Water</t>
        </is>
      </c>
      <c r="B40" s="16" t="inlineStr">
        <is>
          <t>Chiller</t>
        </is>
      </c>
      <c r="C40" s="16" t="inlineStr">
        <is>
          <t>Facility Water Loop</t>
        </is>
      </c>
      <c r="D40" s="46">
        <f>'Water Flow'!B11</f>
        <v/>
      </c>
      <c r="E40" s="16" t="inlineStr">
        <is>
          <t>gal/yr</t>
        </is>
      </c>
      <c r="F40" s="51" t="inlineStr">
        <is>
          <t>2E86C1</t>
        </is>
      </c>
    </row>
    <row r="41">
      <c r="A41" s="20" t="inlineStr">
        <is>
          <t>Cooling &amp; Water</t>
        </is>
      </c>
      <c r="B41" s="20" t="inlineStr">
        <is>
          <t>Facility Water Loop</t>
        </is>
      </c>
      <c r="C41" s="20" t="inlineStr">
        <is>
          <t>Evaporated (Consumed)</t>
        </is>
      </c>
      <c r="D41" s="48">
        <f>'Water Flow'!B15</f>
        <v/>
      </c>
      <c r="E41" s="20" t="inlineStr">
        <is>
          <t>gal/yr</t>
        </is>
      </c>
      <c r="F41" s="52" t="inlineStr">
        <is>
          <t>7FB8E0</t>
        </is>
      </c>
    </row>
    <row r="42">
      <c r="A42" s="16" t="inlineStr">
        <is>
          <t>Cooling &amp; Water</t>
        </is>
      </c>
      <c r="B42" s="16" t="inlineStr">
        <is>
          <t>Facility Water Loop</t>
        </is>
      </c>
      <c r="C42" s="16" t="inlineStr">
        <is>
          <t>Blowdown / Discharge</t>
        </is>
      </c>
      <c r="D42" s="46">
        <f>'Water Flow'!B16</f>
        <v/>
      </c>
      <c r="E42" s="16" t="inlineStr">
        <is>
          <t>gal/yr</t>
        </is>
      </c>
      <c r="F42" s="51" t="inlineStr">
        <is>
          <t>2E86C1</t>
        </is>
      </c>
    </row>
    <row r="43">
      <c r="A43" s="20" t="inlineStr">
        <is>
          <t>Cooling &amp; Water</t>
        </is>
      </c>
      <c r="B43" s="20" t="inlineStr">
        <is>
          <t>Facility Water Loop</t>
        </is>
      </c>
      <c r="C43" s="20" t="inlineStr">
        <is>
          <t>Heat Exchanger</t>
        </is>
      </c>
      <c r="D43" s="48">
        <f>Chip_Heat_Peak_MW</f>
        <v/>
      </c>
      <c r="E43" s="20" t="inlineStr">
        <is>
          <t>MW-th</t>
        </is>
      </c>
      <c r="F43" s="51" t="inlineStr">
        <is>
          <t>2E86C1</t>
        </is>
      </c>
    </row>
    <row r="44">
      <c r="A44" s="16" t="inlineStr">
        <is>
          <t>Cooling &amp; Water</t>
        </is>
      </c>
      <c r="B44" s="16" t="inlineStr">
        <is>
          <t>Heat Exchanger</t>
        </is>
      </c>
      <c r="C44" s="16" t="inlineStr">
        <is>
          <t>CDU (Coolant Distribution Unit)</t>
        </is>
      </c>
      <c r="D44" s="46">
        <f>Chip_Heat_Peak_MW</f>
        <v/>
      </c>
      <c r="E44" s="16" t="inlineStr">
        <is>
          <t>MW-th</t>
        </is>
      </c>
      <c r="F44" s="51" t="inlineStr">
        <is>
          <t>2E86C1</t>
        </is>
      </c>
    </row>
    <row r="45">
      <c r="A45" s="20" t="inlineStr">
        <is>
          <t>Cooling &amp; Water</t>
        </is>
      </c>
      <c r="B45" s="20" t="inlineStr">
        <is>
          <t>CDU (Coolant Distribution Unit)</t>
        </is>
      </c>
      <c r="C45" s="20" t="inlineStr">
        <is>
          <t>Servers/IT Equipment (Direct Liquid Cooling)</t>
        </is>
      </c>
      <c r="D45" s="48">
        <f>Chip_Heat_Peak_MW</f>
        <v/>
      </c>
      <c r="E45" s="20" t="inlineStr">
        <is>
          <t>MW-th</t>
        </is>
      </c>
      <c r="F45" s="51" t="inlineStr">
        <is>
          <t>2E86C1</t>
        </is>
      </c>
    </row>
    <row r="46">
      <c r="A46" s="16" t="inlineStr">
        <is>
          <t>Cooling &amp; Water</t>
        </is>
      </c>
      <c r="B46" s="16" t="inlineStr">
        <is>
          <t>Servers/IT Equipment (Direct Liquid Cooling)</t>
        </is>
      </c>
      <c r="C46" s="16" t="inlineStr">
        <is>
          <t>Secondary Coolant</t>
        </is>
      </c>
      <c r="D46" s="46">
        <f>Chip_Heat_Peak_MW</f>
        <v/>
      </c>
      <c r="E46" s="16" t="inlineStr">
        <is>
          <t>MW-th</t>
        </is>
      </c>
      <c r="F46" s="51" t="inlineStr">
        <is>
          <t>2E86C1</t>
        </is>
      </c>
    </row>
    <row r="47">
      <c r="A47" s="20" t="inlineStr">
        <is>
          <t>Cooling &amp; Water</t>
        </is>
      </c>
      <c r="B47" s="20" t="inlineStr">
        <is>
          <t>Secondary Coolant</t>
        </is>
      </c>
      <c r="C47" s="20" t="inlineStr">
        <is>
          <t>Cold Plates</t>
        </is>
      </c>
      <c r="D47" s="48">
        <f>Chip_Heat_Peak_MW</f>
        <v/>
      </c>
      <c r="E47" s="20" t="inlineStr">
        <is>
          <t>MW-th</t>
        </is>
      </c>
      <c r="F47" s="51" t="inlineStr">
        <is>
          <t>2E86C1</t>
        </is>
      </c>
    </row>
    <row r="48">
      <c r="A48" s="16" t="inlineStr">
        <is>
          <t>Cooling &amp; Water</t>
        </is>
      </c>
      <c r="B48" s="16" t="inlineStr">
        <is>
          <t>Cold Plates</t>
        </is>
      </c>
      <c r="C48" s="16" t="inlineStr">
        <is>
          <t>Return Water</t>
        </is>
      </c>
      <c r="D48" s="46">
        <f>Chip_Heat_Peak_MW</f>
        <v/>
      </c>
      <c r="E48" s="16" t="inlineStr">
        <is>
          <t>MW-th</t>
        </is>
      </c>
      <c r="F48" s="52" t="inlineStr">
        <is>
          <t>7FB8E0</t>
        </is>
      </c>
    </row>
    <row r="49">
      <c r="A49" s="20" t="inlineStr">
        <is>
          <t>Cooling &amp; Water</t>
        </is>
      </c>
      <c r="B49" s="20" t="inlineStr">
        <is>
          <t>HVAC</t>
        </is>
      </c>
      <c r="C49" s="20" t="inlineStr">
        <is>
          <t>CRAH (Computer Room Air Handlers)</t>
        </is>
      </c>
      <c r="D49" s="48">
        <f>'Cooling Flow'!B24</f>
        <v/>
      </c>
      <c r="E49" s="20" t="inlineStr">
        <is>
          <t>MW</t>
        </is>
      </c>
      <c r="F49" s="52" t="inlineStr">
        <is>
          <t>7FB8E0</t>
        </is>
      </c>
    </row>
    <row r="50">
      <c r="A50" s="16" t="inlineStr">
        <is>
          <t>Cooling &amp; Water</t>
        </is>
      </c>
      <c r="B50" s="16" t="inlineStr">
        <is>
          <t>CRAH (Computer Room Air Handlers)</t>
        </is>
      </c>
      <c r="C50" s="16" t="inlineStr">
        <is>
          <t>Room/White Space</t>
        </is>
      </c>
      <c r="D50" s="46">
        <f>'Cooling Flow'!B25</f>
        <v/>
      </c>
      <c r="E50" s="16" t="inlineStr">
        <is>
          <t>MW</t>
        </is>
      </c>
      <c r="F50" s="52" t="inlineStr">
        <is>
          <t>7FB8E0</t>
        </is>
      </c>
    </row>
    <row r="51">
      <c r="A51" s="20" t="inlineStr">
        <is>
          <t>Cooling &amp; Water</t>
        </is>
      </c>
      <c r="B51" s="20" t="inlineStr">
        <is>
          <t>CRAH (Computer Room Air Handlers)</t>
        </is>
      </c>
      <c r="C51" s="20" t="inlineStr">
        <is>
          <t>Server Hall</t>
        </is>
      </c>
      <c r="D51" s="48">
        <f>'Cooling Flow'!B26</f>
        <v/>
      </c>
      <c r="E51" s="20" t="inlineStr">
        <is>
          <t>MW</t>
        </is>
      </c>
      <c r="F51" s="52" t="inlineStr">
        <is>
          <t>7FB8E0</t>
        </is>
      </c>
    </row>
    <row r="52">
      <c r="A52" s="16" t="inlineStr">
        <is>
          <t>Cooling &amp; Water</t>
        </is>
      </c>
      <c r="B52" s="16" t="inlineStr">
        <is>
          <t>Room/White Space</t>
        </is>
      </c>
      <c r="C52" s="16" t="inlineStr">
        <is>
          <t>Electrical Rooms</t>
        </is>
      </c>
      <c r="D52" s="46">
        <f>'Cooling Flow'!B27</f>
        <v/>
      </c>
      <c r="E52" s="16" t="inlineStr">
        <is>
          <t>MW</t>
        </is>
      </c>
      <c r="F52" s="52" t="inlineStr">
        <is>
          <t>7FB8E0</t>
        </is>
      </c>
    </row>
    <row r="53">
      <c r="A53" s="20" t="inlineStr">
        <is>
          <t>Cooling &amp; Water</t>
        </is>
      </c>
      <c r="B53" s="20" t="inlineStr">
        <is>
          <t>Room/White Space</t>
        </is>
      </c>
      <c r="C53" s="20" t="inlineStr">
        <is>
          <t>Offices &amp; Control Rooms</t>
        </is>
      </c>
      <c r="D53" s="48">
        <f>'Cooling Flow'!B28</f>
        <v/>
      </c>
      <c r="E53" s="20" t="inlineStr">
        <is>
          <t>MW</t>
        </is>
      </c>
      <c r="F53" s="52" t="inlineStr">
        <is>
          <t>7FB8E0</t>
        </is>
      </c>
    </row>
    <row r="54">
      <c r="A54" s="16" t="inlineStr">
        <is>
          <t>Cooling &amp; Water</t>
        </is>
      </c>
      <c r="B54" s="16" t="inlineStr">
        <is>
          <t>Room/White Space</t>
        </is>
      </c>
      <c r="C54" s="16" t="inlineStr">
        <is>
          <t>Battery Rooms</t>
        </is>
      </c>
      <c r="D54" s="46">
        <f>'Cooling Flow'!B29</f>
        <v/>
      </c>
      <c r="E54" s="16" t="inlineStr">
        <is>
          <t>MW</t>
        </is>
      </c>
      <c r="F54" s="52" t="inlineStr">
        <is>
          <t>7FB8E0</t>
        </is>
      </c>
    </row>
    <row r="55">
      <c r="A55" s="20" t="inlineStr">
        <is>
          <t>Cooling &amp; Water</t>
        </is>
      </c>
      <c r="B55" s="20" t="inlineStr">
        <is>
          <t>Server Hall</t>
        </is>
      </c>
      <c r="C55" s="20" t="inlineStr">
        <is>
          <t>Networking</t>
        </is>
      </c>
      <c r="D55" s="48">
        <f>'Cooling Flow'!B30</f>
        <v/>
      </c>
      <c r="E55" s="20" t="inlineStr">
        <is>
          <t>MW</t>
        </is>
      </c>
      <c r="F55" s="52" t="inlineStr">
        <is>
          <t>7FB8E0</t>
        </is>
      </c>
    </row>
    <row r="56">
      <c r="A56" s="16" t="inlineStr">
        <is>
          <t>Cooling &amp; Water</t>
        </is>
      </c>
      <c r="B56" s="16" t="inlineStr">
        <is>
          <t>Server Hall</t>
        </is>
      </c>
      <c r="C56" s="16" t="inlineStr">
        <is>
          <t>Storage</t>
        </is>
      </c>
      <c r="D56" s="46">
        <f>'Cooling Flow'!B31</f>
        <v/>
      </c>
      <c r="E56" s="16" t="inlineStr">
        <is>
          <t>MW</t>
        </is>
      </c>
      <c r="F56" s="52" t="inlineStr">
        <is>
          <t>7FB8E0</t>
        </is>
      </c>
    </row>
    <row r="57">
      <c r="A57" s="20" t="inlineStr">
        <is>
          <t>Heat</t>
        </is>
      </c>
      <c r="B57" s="20" t="inlineStr">
        <is>
          <t>Chip Heat</t>
        </is>
      </c>
      <c r="C57" s="20" t="inlineStr">
        <is>
          <t>Heat Exchanger</t>
        </is>
      </c>
      <c r="D57" s="48">
        <f>'Heat Recovery'!B7</f>
        <v/>
      </c>
      <c r="E57" s="20" t="inlineStr">
        <is>
          <t>MW-th</t>
        </is>
      </c>
      <c r="F57" s="53" t="inlineStr">
        <is>
          <t>6F3A8C</t>
        </is>
      </c>
    </row>
    <row r="58">
      <c r="A58" s="16" t="inlineStr">
        <is>
          <t>Heat</t>
        </is>
      </c>
      <c r="B58" s="16" t="inlineStr">
        <is>
          <t>Heat Exchanger</t>
        </is>
      </c>
      <c r="C58" s="16" t="inlineStr">
        <is>
          <t>Chiller (Heat Rejection)</t>
        </is>
      </c>
      <c r="D58" s="46">
        <f>'Heat Recovery'!B8</f>
        <v/>
      </c>
      <c r="E58" s="16" t="inlineStr">
        <is>
          <t>MW-th</t>
        </is>
      </c>
      <c r="F58" s="54" t="inlineStr">
        <is>
          <t>C9B7D6</t>
        </is>
      </c>
    </row>
    <row r="59">
      <c r="A59" s="20" t="inlineStr">
        <is>
          <t>Heat</t>
        </is>
      </c>
      <c r="B59" s="20" t="inlineStr">
        <is>
          <t>Heat Exchanger</t>
        </is>
      </c>
      <c r="C59" s="20" t="inlineStr">
        <is>
          <t>Heat Loss</t>
        </is>
      </c>
      <c r="D59" s="48">
        <f>'Heat Recovery'!B9</f>
        <v/>
      </c>
      <c r="E59" s="20" t="inlineStr">
        <is>
          <t>MW-th</t>
        </is>
      </c>
      <c r="F59" s="53" t="inlineStr">
        <is>
          <t>6F3A8C</t>
        </is>
      </c>
    </row>
    <row r="60">
      <c r="A60" s="16" t="inlineStr">
        <is>
          <t>Heat</t>
        </is>
      </c>
      <c r="B60" s="16" t="inlineStr">
        <is>
          <t>Utility Transformer Loss (0.5%)</t>
        </is>
      </c>
      <c r="C60" s="16" t="inlineStr">
        <is>
          <t>Heat Loss</t>
        </is>
      </c>
      <c r="D60" s="46">
        <f>'Electricity Flow'!B36</f>
        <v/>
      </c>
      <c r="E60" s="16" t="inlineStr">
        <is>
          <t>MW</t>
        </is>
      </c>
      <c r="F60" s="54" t="inlineStr">
        <is>
          <t>C9B7D6</t>
        </is>
      </c>
    </row>
    <row r="61">
      <c r="A61" s="20" t="inlineStr">
        <is>
          <t>Heat</t>
        </is>
      </c>
      <c r="B61" s="20" t="inlineStr">
        <is>
          <t>LV Switchgear Loss (0.2%)</t>
        </is>
      </c>
      <c r="C61" s="20" t="inlineStr">
        <is>
          <t>Heat Loss</t>
        </is>
      </c>
      <c r="D61" s="48">
        <f>'Electricity Flow'!B34</f>
        <v/>
      </c>
      <c r="E61" s="20" t="inlineStr">
        <is>
          <t>MW</t>
        </is>
      </c>
      <c r="F61" s="54" t="inlineStr">
        <is>
          <t>C9B7D6</t>
        </is>
      </c>
    </row>
    <row r="62">
      <c r="A62" s="16" t="inlineStr">
        <is>
          <t>Heat</t>
        </is>
      </c>
      <c r="B62" s="16" t="inlineStr">
        <is>
          <t>UPS Heat Loss (2%)</t>
        </is>
      </c>
      <c r="C62" s="16" t="inlineStr">
        <is>
          <t>Heat Loss</t>
        </is>
      </c>
      <c r="D62" s="46">
        <f>'Electricity Flow'!B29</f>
        <v/>
      </c>
      <c r="E62" s="16" t="inlineStr">
        <is>
          <t>MW</t>
        </is>
      </c>
      <c r="F62" s="54" t="inlineStr">
        <is>
          <t>C9B7D6</t>
        </is>
      </c>
    </row>
    <row r="63">
      <c r="A63" s="20" t="inlineStr">
        <is>
          <t>Heat</t>
        </is>
      </c>
      <c r="B63" s="20" t="inlineStr">
        <is>
          <t>rPDU Loss (1%)</t>
        </is>
      </c>
      <c r="C63" s="20" t="inlineStr">
        <is>
          <t>Heat Loss</t>
        </is>
      </c>
      <c r="D63" s="48">
        <f>'Electricity Flow'!B24</f>
        <v/>
      </c>
      <c r="E63" s="20" t="inlineStr">
        <is>
          <t>MW</t>
        </is>
      </c>
      <c r="F63" s="54" t="inlineStr">
        <is>
          <t>C9B7D6</t>
        </is>
      </c>
    </row>
    <row r="64">
      <c r="A64" s="16" t="inlineStr">
        <is>
          <t>Heat</t>
        </is>
      </c>
      <c r="B64" s="16" t="inlineStr">
        <is>
          <t>Heat Loss</t>
        </is>
      </c>
      <c r="C64" s="16" t="inlineStr">
        <is>
          <t>Recoverable Heat</t>
        </is>
      </c>
      <c r="D64" s="46">
        <f>'Heat Recovery'!B16</f>
        <v/>
      </c>
      <c r="E64" s="16" t="inlineStr">
        <is>
          <t>MW-th</t>
        </is>
      </c>
      <c r="F64" s="55" t="inlineStr">
        <is>
          <t>B23A7A</t>
        </is>
      </c>
    </row>
    <row r="65">
      <c r="A65" s="20" t="inlineStr">
        <is>
          <t>Heat</t>
        </is>
      </c>
      <c r="B65" s="20" t="inlineStr">
        <is>
          <t>Recoverable Heat</t>
        </is>
      </c>
      <c r="C65" s="20" t="inlineStr">
        <is>
          <t>Thermal Energy Network (TEN)</t>
        </is>
      </c>
      <c r="D65" s="48">
        <f>'Heat Recovery'!B17</f>
        <v/>
      </c>
      <c r="E65" s="20" t="inlineStr">
        <is>
          <t>MW-th</t>
        </is>
      </c>
      <c r="F65" s="55" t="inlineStr">
        <is>
          <t>B23A7A</t>
        </is>
      </c>
    </row>
    <row r="66">
      <c r="A66" s="16" t="inlineStr">
        <is>
          <t>Heat</t>
        </is>
      </c>
      <c r="B66" s="16" t="inlineStr">
        <is>
          <t>Recoverable Heat</t>
        </is>
      </c>
      <c r="C66" s="16" t="inlineStr">
        <is>
          <t>Campus Hot Water</t>
        </is>
      </c>
      <c r="D66" s="46">
        <f>'Heat Recovery'!B18</f>
        <v/>
      </c>
      <c r="E66" s="16" t="inlineStr">
        <is>
          <t>MW-th</t>
        </is>
      </c>
      <c r="F66" s="55" t="inlineStr">
        <is>
          <t>B23A7A</t>
        </is>
      </c>
    </row>
    <row r="67">
      <c r="A67" s="20" t="inlineStr">
        <is>
          <t>Heat</t>
        </is>
      </c>
      <c r="B67" s="20" t="inlineStr">
        <is>
          <t>Recoverable Heat</t>
        </is>
      </c>
      <c r="C67" s="20" t="inlineStr">
        <is>
          <t>Absorption Chiller</t>
        </is>
      </c>
      <c r="D67" s="48">
        <f>'Heat Recovery'!B19</f>
        <v/>
      </c>
      <c r="E67" s="20" t="inlineStr">
        <is>
          <t>MW-th</t>
        </is>
      </c>
      <c r="F67" s="55" t="inlineStr">
        <is>
          <t>B23A7A</t>
        </is>
      </c>
    </row>
    <row r="68">
      <c r="A68" s="16" t="inlineStr">
        <is>
          <t>Heat</t>
        </is>
      </c>
      <c r="B68" s="16" t="inlineStr">
        <is>
          <t>Recoverable Heat</t>
        </is>
      </c>
      <c r="C68" s="16" t="inlineStr">
        <is>
          <t>Thermal Energy Storage</t>
        </is>
      </c>
      <c r="D68" s="46">
        <f>'Heat Recovery'!B20</f>
        <v/>
      </c>
      <c r="E68" s="16" t="inlineStr">
        <is>
          <t>MW-th</t>
        </is>
      </c>
      <c r="F68" s="55" t="inlineStr">
        <is>
          <t>B23A7A</t>
        </is>
      </c>
    </row>
    <row r="69">
      <c r="A69" s="20" t="inlineStr">
        <is>
          <t>Heat</t>
        </is>
      </c>
      <c r="B69" s="20" t="inlineStr">
        <is>
          <t>Recoverable Heat</t>
        </is>
      </c>
      <c r="C69" s="20" t="inlineStr">
        <is>
          <t>Industrial Process</t>
        </is>
      </c>
      <c r="D69" s="48">
        <f>'Heat Recovery'!B21</f>
        <v/>
      </c>
      <c r="E69" s="20" t="inlineStr">
        <is>
          <t>MW-th</t>
        </is>
      </c>
      <c r="F69" s="55" t="inlineStr">
        <is>
          <t>B23A7A</t>
        </is>
      </c>
    </row>
    <row r="70"/>
    <row r="71">
      <c r="A71" s="2" t="inlineStr">
        <is>
          <t>Row 6-35: Electrical Energy Flow (30 links). Row 36-56: Cooling &amp; Water Flow (21 links, 3 unit tracks). Row 57-69: Heat Flow (13 links).</t>
        </is>
      </c>
    </row>
  </sheetData>
  <mergeCells count="3">
    <mergeCell ref="A3:F3"/>
    <mergeCell ref="A71:F7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2026-07-18T06:25:16Z</dcterms:created>
  <dcterms:modified xsi:type="dcterms:W3CDTF">2026-07-18T06:25:16Z</dcterms:modified>
</cp:coreProperties>
</file>